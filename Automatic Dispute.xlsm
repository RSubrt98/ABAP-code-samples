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908" documentId="8_{C08205AD-79B7-4B02-875A-A0033BEE7787}" xr6:coauthVersionLast="47" xr6:coauthVersionMax="47" xr10:uidLastSave="{E1873F44-9CE3-41B0-AD90-FECD1A90C892}"/>
  <bookViews>
    <workbookView xWindow="13590" yWindow="-21600" windowWidth="26010" windowHeight="20985" xr2:uid="{00000000-000D-0000-FFFF-FFFF00000000}"/>
  </bookViews>
  <sheets>
    <sheet name="Sheet1" sheetId="1" r:id="rId1"/>
    <sheet name="Dispute case Regel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/>
  <c r="G10" i="2"/>
  <c r="B11" i="1"/>
  <c r="G5" i="2"/>
  <c r="G6" i="2"/>
  <c r="G7" i="2"/>
  <c r="G8" i="2"/>
  <c r="G9" i="2"/>
  <c r="G11" i="2"/>
  <c r="G12" i="2"/>
  <c r="G13" i="2"/>
  <c r="G14" i="2"/>
  <c r="G15" i="2"/>
  <c r="G4" i="2"/>
</calcChain>
</file>

<file path=xl/sharedStrings.xml><?xml version="1.0" encoding="utf-8"?>
<sst xmlns="http://schemas.openxmlformats.org/spreadsheetml/2006/main" count="161" uniqueCount="146">
  <si>
    <t>Ref Document Number</t>
  </si>
  <si>
    <t>Data</t>
  </si>
  <si>
    <t>Headers</t>
  </si>
  <si>
    <t>I547640</t>
  </si>
  <si>
    <t>Cathegories</t>
  </si>
  <si>
    <t>Cathegory</t>
  </si>
  <si>
    <t>Person Responsible</t>
  </si>
  <si>
    <t>Status</t>
  </si>
  <si>
    <t>'RoDC: In Process for O2I'</t>
  </si>
  <si>
    <t>'NGBC: On Hold for O2I'</t>
  </si>
  <si>
    <t>'RoDC: Bankruptcy/Insolvent'</t>
  </si>
  <si>
    <t>'RoDC: Closed/Confirmed'</t>
  </si>
  <si>
    <t>'RoDC: Credit Balance'</t>
  </si>
  <si>
    <t>'RoDC: In Process for Approvers'</t>
  </si>
  <si>
    <t>'RoDC: In Process for CC'</t>
  </si>
  <si>
    <t>'RoDC: In Process for Customer'</t>
  </si>
  <si>
    <t>'NGBC: In Process for DID'</t>
  </si>
  <si>
    <t>'RoDC: Legal/Highly Escalated Cases'</t>
  </si>
  <si>
    <t>'RoDC: New'</t>
  </si>
  <si>
    <t>'RoDC: Termination'</t>
  </si>
  <si>
    <t>Note Text</t>
  </si>
  <si>
    <t>Priority</t>
  </si>
  <si>
    <t xml:space="preserve">Medium </t>
  </si>
  <si>
    <t>High</t>
  </si>
  <si>
    <t>Reason</t>
  </si>
  <si>
    <t>Z000</t>
  </si>
  <si>
    <t>Default (NGBC: FI-CA)</t>
  </si>
  <si>
    <t>Z010</t>
  </si>
  <si>
    <t>Address/Name Change (NGBC: FI-CA)</t>
  </si>
  <si>
    <t>Z020</t>
  </si>
  <si>
    <t>Purchase Order Update Needed (NGBC: FI-CA)</t>
  </si>
  <si>
    <t>Z040</t>
  </si>
  <si>
    <t>Double invoicing (NGBC: FI-CA)</t>
  </si>
  <si>
    <t>Z202</t>
  </si>
  <si>
    <t>Training Participation (NGBC: FI-CA)</t>
  </si>
  <si>
    <t>Z205</t>
  </si>
  <si>
    <t>Contract Cancelled (NGBC: FI-CA)</t>
  </si>
  <si>
    <t>Z207</t>
  </si>
  <si>
    <t>Invoice Currency (NGBC: FI-CA)</t>
  </si>
  <si>
    <t>Z209</t>
  </si>
  <si>
    <t>VAT/Tax (NGBC: FI-CA)</t>
  </si>
  <si>
    <t>Z212</t>
  </si>
  <si>
    <t>OBSOLETE: SAP Mobile Services - Messaging (NGBC: FI-CA)</t>
  </si>
  <si>
    <t>Z215</t>
  </si>
  <si>
    <t>Legal/Settlement (NGBC: FI-CA)</t>
  </si>
  <si>
    <t>Z216</t>
  </si>
  <si>
    <t>Invoice Format (NGBC: FI-CA)</t>
  </si>
  <si>
    <t>Z217</t>
  </si>
  <si>
    <t>Product/Service Dissatisfaction (NGBC: FI-CA)</t>
  </si>
  <si>
    <t>Z218</t>
  </si>
  <si>
    <t>CPI (NGBC: FI-CA)</t>
  </si>
  <si>
    <t>Z220</t>
  </si>
  <si>
    <t>Financing/Payment Services (NGBC: FI-CA)</t>
  </si>
  <si>
    <t>Z230</t>
  </si>
  <si>
    <t>CPEA Overage (NGBC: FI-CA)</t>
  </si>
  <si>
    <t>Z231</t>
  </si>
  <si>
    <t>New Dispute (Dispute creator to select correct reason) (NGBC</t>
  </si>
  <si>
    <t>Z232</t>
  </si>
  <si>
    <t>Contract Transfer (NGBC: FI-CA)</t>
  </si>
  <si>
    <t>Z233</t>
  </si>
  <si>
    <t>Invoice Delivery Date (NGBC: FI-CA)</t>
  </si>
  <si>
    <t>Z234</t>
  </si>
  <si>
    <t>Concession Approved (NGBC: FI-CA)</t>
  </si>
  <si>
    <t>Z235</t>
  </si>
  <si>
    <t>Invoice To Contract Inconsistency (Other) (NGBC: FI-CA)</t>
  </si>
  <si>
    <t>Z236</t>
  </si>
  <si>
    <t>OBSOLETE: Cost Rejected (Cons/Edu) (NGBC: FI-CA)</t>
  </si>
  <si>
    <t>Z237</t>
  </si>
  <si>
    <t>Invoice Not Delivered on Portal (NGBC: FI-CA)</t>
  </si>
  <si>
    <t>Z238</t>
  </si>
  <si>
    <t>OBSOLETE:Supporting Documentation (Cons/Edu) (NGBC: FI-CA))</t>
  </si>
  <si>
    <t>Z239</t>
  </si>
  <si>
    <t>Credit Card/Direct Debit (NGBC: FI-CA)</t>
  </si>
  <si>
    <t>Z240</t>
  </si>
  <si>
    <t>Invoice Value (NGBC: FI-CA)</t>
  </si>
  <si>
    <t>Z241</t>
  </si>
  <si>
    <t>Invoice Payment Terms (NGBC: FI-CA)</t>
  </si>
  <si>
    <t>Z242</t>
  </si>
  <si>
    <t>Invoice Period/Coverage (NGBC: FI-CA)</t>
  </si>
  <si>
    <t>Z999</t>
  </si>
  <si>
    <t>Other (NGBC: FI-CA)</t>
  </si>
  <si>
    <t>Contact Customer</t>
  </si>
  <si>
    <t>Contact Customer Email</t>
  </si>
  <si>
    <t>Contact Customer Number</t>
  </si>
  <si>
    <t>Attachment Name</t>
  </si>
  <si>
    <t>I339382</t>
  </si>
  <si>
    <t>Victoria Goliste</t>
  </si>
  <si>
    <t>Lucca Alonso</t>
  </si>
  <si>
    <t xml:space="preserve"> I552415</t>
  </si>
  <si>
    <t>Tereza Libalova</t>
  </si>
  <si>
    <t>Veronika Cataiova</t>
  </si>
  <si>
    <t>Algin Abanilla</t>
  </si>
  <si>
    <t>C5373280</t>
  </si>
  <si>
    <t>I517741</t>
  </si>
  <si>
    <t>Jan Saral</t>
  </si>
  <si>
    <t>Cloud</t>
  </si>
  <si>
    <t>Training CH</t>
  </si>
  <si>
    <t>Training AT</t>
  </si>
  <si>
    <t>Training  DE</t>
  </si>
  <si>
    <t>DID Team</t>
  </si>
  <si>
    <t xml:space="preserve">CPEA Overage </t>
  </si>
  <si>
    <t>On Prem</t>
  </si>
  <si>
    <t>Consulting</t>
  </si>
  <si>
    <t>Cloud (RoDC: FI-CA)</t>
  </si>
  <si>
    <t>Maintenance (RoDC: FI-CA)</t>
  </si>
  <si>
    <t>Consulting (RoDC: FI-CA)</t>
  </si>
  <si>
    <t>Messaging (RoDC: FI-CA)</t>
  </si>
  <si>
    <t>Others (RoDC: FI-CA)</t>
  </si>
  <si>
    <t>Software (RoDC: FI-CA)</t>
  </si>
  <si>
    <t>Training (RoDC: FI-CA)</t>
  </si>
  <si>
    <t>Low</t>
  </si>
  <si>
    <t>Very high</t>
  </si>
  <si>
    <t>Cons. Onprem Pers. Resp.</t>
  </si>
  <si>
    <t>ID Rechnungsersteller</t>
  </si>
  <si>
    <t>Dispute Case umstellen:</t>
  </si>
  <si>
    <t>Coordinator bleiben wir, also unsere ID bleibt drin</t>
  </si>
  <si>
    <t>Status: In Process for 02I</t>
  </si>
  <si>
    <t>Person Responsible: ID Rechnungsersteller</t>
  </si>
  <si>
    <t>Bei HYBILL_BATCH bitte im SD Dokument nach dem Rechnungsersteller schauen.</t>
  </si>
  <si>
    <t>In letzter Zeit gibt es häufig SAP Store Consultingrechnungen. Diese bitte an Kieu Nga Dao I746225 umstellen.</t>
  </si>
  <si>
    <t>Die Abschlusskommunikation an den Kunden soll von O2I erfolgen.</t>
  </si>
  <si>
    <t>Wenn keine  Abschlusskommunikation an den Kunden erfolgt ist, dann bitte an Annika, Zoltan oder Heiko wenden.</t>
  </si>
  <si>
    <t>Manager: Jana Sidorova und Stepan Hallada</t>
  </si>
  <si>
    <t>Education </t>
  </si>
  <si>
    <t>Person Responsible: Die 3 SPOCS für DE, AT und CH</t>
  </si>
  <si>
    <t>DE: Victoria Goliste I506842 </t>
  </si>
  <si>
    <t xml:space="preserve">AT: Lucca Alonso I566206 </t>
  </si>
  <si>
    <t>CH: Tereza Libalova I552415</t>
  </si>
  <si>
    <t>Manager: Sabine Berg</t>
  </si>
  <si>
    <t>Inhouse Schulungsrechnungen nicht an die Kollegen umstellen sondern per Mail an cst.dach@sap.com</t>
  </si>
  <si>
    <t>On Prem </t>
  </si>
  <si>
    <t>Person Responsible: SPOC Veronika Cataiova (I339382)</t>
  </si>
  <si>
    <t>Status: In Process for O2I</t>
  </si>
  <si>
    <t>Manager: Lisa Celikov</t>
  </si>
  <si>
    <t>Alle DACH Cloud Dispute Cases auf Algin Abanilla (I547640) umstellen.</t>
  </si>
  <si>
    <t>Sie ist ab 12.01.2024 der Dispute Koordinator für Cloud und wird die Disputes verteilen.</t>
  </si>
  <si>
    <t>Manager: Nidia Miguel</t>
  </si>
  <si>
    <t>comms.msg</t>
  </si>
  <si>
    <t>Attachment Name 2</t>
  </si>
  <si>
    <t>Other (cross)</t>
  </si>
  <si>
    <t>From Inv</t>
  </si>
  <si>
    <t>- Required Field</t>
  </si>
  <si>
    <t xml:space="preserve">- Drop down menu </t>
  </si>
  <si>
    <t>- Do not edit</t>
  </si>
  <si>
    <t>I506842</t>
  </si>
  <si>
    <t>I566206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</si>
</sst>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000000"/>
      <name val="Calibri"/>
      <family val="2"/>
    </font>
    <font>
      <sz val="11"/>
      <color rgb="FF3F3F76"/>
      <name val="Calibri"/>
      <family val="2"/>
      <charset val="238"/>
      <scheme val="minor"/>
    </font>
    <font>
      <b/>
      <sz val="12"/>
      <name val="Calibri"/>
      <family val="2"/>
      <scheme val="minor"/>
    </font>
    <font>
      <sz val="10"/>
      <color rgb="FF00518A"/>
      <name val="Arial"/>
      <family val="2"/>
    </font>
    <font>
      <u/>
      <sz val="10"/>
      <color rgb="FF00518A"/>
      <name val="Arial"/>
      <family val="2"/>
    </font>
    <font>
      <b/>
      <u/>
      <sz val="10"/>
      <color rgb="FFFF0000"/>
      <name val="Arial"/>
      <family val="2"/>
    </font>
    <font>
      <sz val="10"/>
      <name val="Arial"/>
      <family val="2"/>
    </font>
    <font>
      <u/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theme="4" tint="-0.2499465926084170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2" borderId="2" applyNumberFormat="0" applyAlignment="0" applyProtection="0"/>
  </cellStyleXfs>
  <cellXfs count="56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quotePrefix="1"/>
    <xf numFmtId="0" fontId="1" fillId="0" borderId="0" xfId="0" applyFont="1" applyFill="1" applyBorder="1"/>
    <xf numFmtId="0" fontId="1" fillId="0" borderId="1" xfId="0" applyFont="1" applyFill="1" applyBorder="1"/>
    <xf numFmtId="0" fontId="1" fillId="0" borderId="0" xfId="0" applyFont="1" applyFill="1" applyBorder="1" applyAlignment="1">
      <alignment horizontal="left"/>
    </xf>
    <xf numFmtId="0" fontId="9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0" fillId="0" borderId="1" xfId="0" applyBorder="1"/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" fillId="4" borderId="0" xfId="0" applyFont="1" applyFill="1" applyBorder="1"/>
    <xf numFmtId="0" fontId="1" fillId="0" borderId="6" xfId="0" applyFont="1" applyFill="1" applyBorder="1" applyAlignment="1">
      <alignment horizontal="left" vertical="top"/>
    </xf>
    <xf numFmtId="0" fontId="1" fillId="0" borderId="0" xfId="0" quotePrefix="1" applyFont="1" applyFill="1" applyBorder="1"/>
    <xf numFmtId="0" fontId="0" fillId="0" borderId="12" xfId="0" applyBorder="1"/>
    <xf numFmtId="0" fontId="1" fillId="3" borderId="13" xfId="0" applyFont="1" applyFill="1" applyBorder="1" applyAlignment="1">
      <alignment horizontal="left" vertical="top"/>
    </xf>
    <xf numFmtId="0" fontId="1" fillId="0" borderId="16" xfId="0" applyFont="1" applyFill="1" applyBorder="1" applyAlignment="1">
      <alignment horizontal="left" vertical="top"/>
    </xf>
    <xf numFmtId="0" fontId="7" fillId="2" borderId="7" xfId="2" applyFont="1" applyBorder="1"/>
    <xf numFmtId="0" fontId="1" fillId="0" borderId="20" xfId="0" applyFont="1" applyFill="1" applyBorder="1" applyAlignment="1"/>
    <xf numFmtId="0" fontId="1" fillId="0" borderId="21" xfId="0" applyFont="1" applyFill="1" applyBorder="1"/>
    <xf numFmtId="0" fontId="1" fillId="0" borderId="22" xfId="0" applyFont="1" applyFill="1" applyBorder="1" applyAlignment="1"/>
    <xf numFmtId="0" fontId="1" fillId="0" borderId="23" xfId="0" applyFont="1" applyFill="1" applyBorder="1"/>
    <xf numFmtId="0" fontId="1" fillId="0" borderId="24" xfId="0" applyFont="1" applyFill="1" applyBorder="1" applyAlignment="1"/>
    <xf numFmtId="0" fontId="1" fillId="0" borderId="25" xfId="0" applyFont="1" applyFill="1" applyBorder="1"/>
    <xf numFmtId="0" fontId="1" fillId="5" borderId="0" xfId="0" applyFont="1" applyFill="1" applyBorder="1"/>
    <xf numFmtId="0" fontId="1" fillId="3" borderId="26" xfId="0" applyFont="1" applyFill="1" applyBorder="1" applyAlignment="1">
      <alignment horizontal="left" vertical="top"/>
    </xf>
    <xf numFmtId="0" fontId="1" fillId="3" borderId="16" xfId="0" applyFont="1" applyFill="1" applyBorder="1" applyAlignment="1">
      <alignment horizontal="left" vertical="top"/>
    </xf>
    <xf numFmtId="0" fontId="1" fillId="5" borderId="3" xfId="0" applyFont="1" applyFill="1" applyBorder="1"/>
    <xf numFmtId="0" fontId="1" fillId="3" borderId="3" xfId="0" applyFont="1" applyFill="1" applyBorder="1" applyAlignment="1">
      <alignment horizontal="left" vertical="top"/>
    </xf>
    <xf numFmtId="1" fontId="13" fillId="0" borderId="0" xfId="0" applyNumberFormat="1" applyFont="1" applyAlignment="1">
      <alignment vertical="center"/>
    </xf>
    <xf numFmtId="0" fontId="1" fillId="3" borderId="10" xfId="0" applyFont="1" applyFill="1" applyBorder="1" applyAlignment="1">
      <alignment horizontal="center" vertical="top" wrapText="1"/>
    </xf>
    <xf numFmtId="0" fontId="0" fillId="0" borderId="27" xfId="0" applyBorder="1" applyAlignment="1">
      <alignment vertical="center"/>
    </xf>
    <xf numFmtId="0" fontId="4" fillId="0" borderId="28" xfId="1" applyBorder="1"/>
    <xf numFmtId="0" fontId="1" fillId="0" borderId="29" xfId="0" applyFon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/>
    </xf>
    <xf numFmtId="0" fontId="1" fillId="0" borderId="30" xfId="0" applyFont="1" applyFill="1" applyBorder="1" applyAlignment="1">
      <alignment horizontal="left" vertical="top"/>
    </xf>
    <xf numFmtId="0" fontId="1" fillId="3" borderId="31" xfId="0" applyFont="1" applyFill="1" applyBorder="1" applyAlignment="1">
      <alignment horizontal="left" vertical="top"/>
    </xf>
    <xf numFmtId="0" fontId="1" fillId="0" borderId="11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1" fillId="0" borderId="17" xfId="0" applyFont="1" applyFill="1" applyBorder="1" applyAlignment="1">
      <alignment horizontal="left"/>
    </xf>
    <xf numFmtId="0" fontId="1" fillId="0" borderId="4" xfId="0" applyFont="1" applyFill="1" applyBorder="1" applyAlignment="1">
      <alignment horizontal="left"/>
    </xf>
    <xf numFmtId="0" fontId="7" fillId="2" borderId="18" xfId="2" applyFont="1" applyBorder="1" applyAlignment="1">
      <alignment horizontal="left"/>
    </xf>
    <xf numFmtId="0" fontId="7" fillId="2" borderId="19" xfId="2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8" xfId="0" applyFont="1" applyFill="1" applyBorder="1" applyAlignment="1">
      <alignment horizontal="left" vertical="top"/>
    </xf>
    <xf numFmtId="0" fontId="1" fillId="0" borderId="9" xfId="0" applyFont="1" applyFill="1" applyBorder="1" applyAlignment="1">
      <alignment horizontal="left" vertical="top"/>
    </xf>
    <xf numFmtId="0" fontId="1" fillId="0" borderId="14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</cellXfs>
  <cellStyles count="3">
    <cellStyle name="Hyperlink" xfId="1" builtinId="8"/>
    <cellStyle name="Input" xfId="2" builtinId="20"/>
    <cellStyle name="Normal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E2E2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7</xdr:col>
          <xdr:colOff>590550</xdr:colOff>
          <xdr:row>5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s-CZ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Dispute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19050</xdr:rowOff>
        </xdr:from>
        <xdr:to>
          <xdr:col>7</xdr:col>
          <xdr:colOff>590550</xdr:colOff>
          <xdr:row>10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s-CZ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Dispute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7</xdr:col>
          <xdr:colOff>590550</xdr:colOff>
          <xdr:row>14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s-CZ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cst.dach@sa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2"/>
  <sheetViews>
    <sheetView showGridLines="0" tabSelected="1" zoomScaleNormal="100" workbookViewId="0">
      <selection activeCell="K15" sqref="K15:L15"/>
    </sheetView>
  </sheetViews>
  <sheetFormatPr defaultRowHeight="15" x14ac:dyDescent="0.25"/>
  <cols>
    <col min="1" max="1" width="24.140625" style="6" bestFit="1" customWidth="1"/>
    <col min="2" max="2" width="14.5703125" style="6" bestFit="1" customWidth="1"/>
    <col min="3" max="3" width="51.28515625" style="4" bestFit="1" customWidth="1"/>
    <col min="4" max="15" width="9.140625" style="4"/>
    <col min="16" max="16" width="19.7109375" style="4" bestFit="1" customWidth="1"/>
    <col min="17" max="16384" width="9.140625" style="4"/>
  </cols>
  <sheetData>
    <row r="1" spans="1:16" ht="16.5" thickBot="1" x14ac:dyDescent="0.3">
      <c r="A1" s="49" t="s">
        <v>2</v>
      </c>
      <c r="B1" s="50"/>
      <c r="C1" s="25" t="s">
        <v>1</v>
      </c>
    </row>
    <row r="2" spans="1:16" ht="15.75" thickBot="1" x14ac:dyDescent="0.3">
      <c r="A2" s="47" t="s">
        <v>0</v>
      </c>
      <c r="B2" s="48"/>
      <c r="C2" s="44"/>
      <c r="J2" s="19"/>
      <c r="K2" s="21" t="s">
        <v>141</v>
      </c>
    </row>
    <row r="3" spans="1:16" ht="15.75" thickBot="1" x14ac:dyDescent="0.3">
      <c r="A3" s="45" t="s">
        <v>81</v>
      </c>
      <c r="B3" s="46"/>
      <c r="C3" s="39"/>
      <c r="J3" s="20"/>
      <c r="K3" s="21" t="s">
        <v>142</v>
      </c>
    </row>
    <row r="4" spans="1:16" x14ac:dyDescent="0.25">
      <c r="A4" s="45" t="s">
        <v>82</v>
      </c>
      <c r="B4" s="46"/>
      <c r="C4" s="40"/>
      <c r="J4" s="32"/>
      <c r="K4" s="21" t="s">
        <v>143</v>
      </c>
    </row>
    <row r="5" spans="1:16" ht="15.75" thickBot="1" x14ac:dyDescent="0.3">
      <c r="A5" s="45" t="s">
        <v>83</v>
      </c>
      <c r="B5" s="46"/>
      <c r="C5" s="22"/>
      <c r="E5" s="5"/>
    </row>
    <row r="6" spans="1:16" ht="15.75" thickBot="1" x14ac:dyDescent="0.3">
      <c r="A6" s="45" t="s">
        <v>5</v>
      </c>
      <c r="B6" s="46"/>
      <c r="C6" s="23"/>
    </row>
    <row r="7" spans="1:16" ht="15.75" thickBot="1" x14ac:dyDescent="0.3">
      <c r="A7" s="45" t="s">
        <v>7</v>
      </c>
      <c r="B7" s="46"/>
      <c r="C7" s="23"/>
    </row>
    <row r="8" spans="1:16" ht="15.75" thickBot="1" x14ac:dyDescent="0.3">
      <c r="A8" s="45" t="s">
        <v>21</v>
      </c>
      <c r="B8" s="46"/>
      <c r="C8" s="23"/>
    </row>
    <row r="9" spans="1:16" x14ac:dyDescent="0.25">
      <c r="A9" s="26" t="s">
        <v>6</v>
      </c>
      <c r="B9" s="27" t="str">
        <f>IFERROR(_xlfn.XLOOKUP(C9,Sheet2!I9:I17,Sheet2!J9:J17),"")</f>
        <v/>
      </c>
      <c r="C9" s="33"/>
    </row>
    <row r="10" spans="1:16" x14ac:dyDescent="0.25">
      <c r="A10" s="30" t="s">
        <v>112</v>
      </c>
      <c r="B10" s="31"/>
      <c r="C10" s="35"/>
    </row>
    <row r="11" spans="1:16" ht="15.75" thickBot="1" x14ac:dyDescent="0.3">
      <c r="A11" s="28" t="s">
        <v>24</v>
      </c>
      <c r="B11" s="29" t="str">
        <f>IFERROR(_xlfn.XLOOKUP(Sheet1!C11,Sheet2!F23:F50,Sheet2!E23:E50),"")</f>
        <v/>
      </c>
      <c r="C11" s="34"/>
    </row>
    <row r="12" spans="1:16" x14ac:dyDescent="0.25">
      <c r="A12" s="51"/>
      <c r="B12" s="51"/>
      <c r="C12" s="41"/>
    </row>
    <row r="13" spans="1:16" x14ac:dyDescent="0.25">
      <c r="A13" s="51"/>
      <c r="B13" s="51"/>
      <c r="C13" s="42"/>
    </row>
    <row r="14" spans="1:16" ht="15.75" thickBot="1" x14ac:dyDescent="0.3">
      <c r="A14" s="51"/>
      <c r="B14" s="51"/>
      <c r="C14" s="43"/>
      <c r="P14" s="37"/>
    </row>
    <row r="15" spans="1:16" ht="147" customHeight="1" x14ac:dyDescent="0.25">
      <c r="A15" s="52" t="s">
        <v>20</v>
      </c>
      <c r="B15" s="53"/>
      <c r="C15" s="38"/>
      <c r="P15" s="37"/>
    </row>
    <row r="16" spans="1:16" x14ac:dyDescent="0.25">
      <c r="A16" s="45" t="s">
        <v>84</v>
      </c>
      <c r="B16" s="46"/>
      <c r="C16" s="36" t="s">
        <v>137</v>
      </c>
    </row>
    <row r="17" spans="1:3" ht="15.75" thickBot="1" x14ac:dyDescent="0.3">
      <c r="A17" s="54" t="s">
        <v>138</v>
      </c>
      <c r="B17" s="55"/>
      <c r="C17" s="24"/>
    </row>
    <row r="18" spans="1:3" x14ac:dyDescent="0.25">
      <c r="A18" s="51"/>
      <c r="B18" s="51"/>
    </row>
    <row r="19" spans="1:3" x14ac:dyDescent="0.25">
      <c r="A19" s="51"/>
      <c r="B19" s="51"/>
    </row>
    <row r="20" spans="1:3" x14ac:dyDescent="0.25">
      <c r="A20" s="51"/>
      <c r="B20" s="51"/>
    </row>
    <row r="21" spans="1:3" x14ac:dyDescent="0.25">
      <c r="A21" s="51"/>
      <c r="B21" s="51"/>
    </row>
    <row r="22" spans="1:3" x14ac:dyDescent="0.25">
      <c r="A22" s="51"/>
      <c r="B22" s="51"/>
    </row>
    <row r="23" spans="1:3" x14ac:dyDescent="0.25">
      <c r="A23" s="51"/>
      <c r="B23" s="51"/>
    </row>
    <row r="24" spans="1:3" x14ac:dyDescent="0.25">
      <c r="A24" s="51"/>
      <c r="B24" s="51"/>
    </row>
    <row r="25" spans="1:3" x14ac:dyDescent="0.25">
      <c r="A25" s="51"/>
      <c r="B25" s="51"/>
    </row>
    <row r="26" spans="1:3" x14ac:dyDescent="0.25">
      <c r="A26" s="51"/>
      <c r="B26" s="51"/>
    </row>
    <row r="27" spans="1:3" x14ac:dyDescent="0.25">
      <c r="A27" s="51"/>
      <c r="B27" s="51"/>
    </row>
    <row r="28" spans="1:3" x14ac:dyDescent="0.25">
      <c r="A28" s="51"/>
      <c r="B28" s="51"/>
    </row>
    <row r="29" spans="1:3" x14ac:dyDescent="0.25">
      <c r="A29" s="51"/>
      <c r="B29" s="51"/>
    </row>
    <row r="30" spans="1:3" x14ac:dyDescent="0.25">
      <c r="A30" s="51"/>
      <c r="B30" s="51"/>
    </row>
    <row r="31" spans="1:3" x14ac:dyDescent="0.25">
      <c r="A31" s="51"/>
      <c r="B31" s="51"/>
    </row>
    <row r="32" spans="1:3" x14ac:dyDescent="0.25">
      <c r="A32" s="51"/>
      <c r="B32" s="51"/>
    </row>
    <row r="33" spans="1:2" x14ac:dyDescent="0.25">
      <c r="A33" s="51"/>
      <c r="B33" s="51"/>
    </row>
    <row r="34" spans="1:2" x14ac:dyDescent="0.25">
      <c r="A34" s="51"/>
      <c r="B34" s="51"/>
    </row>
    <row r="35" spans="1:2" x14ac:dyDescent="0.25">
      <c r="A35" s="51"/>
      <c r="B35" s="51"/>
    </row>
    <row r="36" spans="1:2" x14ac:dyDescent="0.25">
      <c r="A36" s="51"/>
      <c r="B36" s="51"/>
    </row>
    <row r="37" spans="1:2" x14ac:dyDescent="0.25">
      <c r="A37" s="51"/>
      <c r="B37" s="51"/>
    </row>
    <row r="38" spans="1:2" x14ac:dyDescent="0.25">
      <c r="A38" s="51"/>
      <c r="B38" s="51"/>
    </row>
    <row r="39" spans="1:2" x14ac:dyDescent="0.25">
      <c r="A39" s="51"/>
      <c r="B39" s="51"/>
    </row>
    <row r="40" spans="1:2" x14ac:dyDescent="0.25">
      <c r="A40" s="51"/>
      <c r="B40" s="51"/>
    </row>
    <row r="41" spans="1:2" x14ac:dyDescent="0.25">
      <c r="A41" s="51"/>
      <c r="B41" s="51"/>
    </row>
    <row r="42" spans="1:2" x14ac:dyDescent="0.25">
      <c r="A42" s="51"/>
      <c r="B42" s="51"/>
    </row>
    <row r="43" spans="1:2" x14ac:dyDescent="0.25">
      <c r="A43" s="51"/>
      <c r="B43" s="51"/>
    </row>
    <row r="44" spans="1:2" x14ac:dyDescent="0.25">
      <c r="A44" s="51"/>
      <c r="B44" s="51"/>
    </row>
    <row r="45" spans="1:2" x14ac:dyDescent="0.25">
      <c r="A45" s="51"/>
      <c r="B45" s="51"/>
    </row>
    <row r="46" spans="1:2" x14ac:dyDescent="0.25">
      <c r="A46" s="51"/>
      <c r="B46" s="51"/>
    </row>
    <row r="47" spans="1:2" x14ac:dyDescent="0.25">
      <c r="A47" s="51"/>
      <c r="B47" s="51"/>
    </row>
    <row r="48" spans="1:2" x14ac:dyDescent="0.25">
      <c r="A48" s="51"/>
      <c r="B48" s="51"/>
    </row>
    <row r="49" spans="1:2" x14ac:dyDescent="0.25">
      <c r="A49" s="51"/>
      <c r="B49" s="51"/>
    </row>
    <row r="50" spans="1:2" x14ac:dyDescent="0.25">
      <c r="A50" s="51"/>
      <c r="B50" s="51"/>
    </row>
    <row r="51" spans="1:2" x14ac:dyDescent="0.25">
      <c r="A51" s="51"/>
      <c r="B51" s="51"/>
    </row>
    <row r="52" spans="1:2" x14ac:dyDescent="0.25">
      <c r="A52" s="51"/>
      <c r="B52" s="51"/>
    </row>
    <row r="53" spans="1:2" x14ac:dyDescent="0.25">
      <c r="A53" s="51"/>
      <c r="B53" s="51"/>
    </row>
    <row r="54" spans="1:2" x14ac:dyDescent="0.25">
      <c r="A54" s="51"/>
      <c r="B54" s="51"/>
    </row>
    <row r="55" spans="1:2" x14ac:dyDescent="0.25">
      <c r="A55" s="51"/>
      <c r="B55" s="51"/>
    </row>
    <row r="56" spans="1:2" x14ac:dyDescent="0.25">
      <c r="A56" s="51"/>
      <c r="B56" s="51"/>
    </row>
    <row r="57" spans="1:2" x14ac:dyDescent="0.25">
      <c r="A57" s="51"/>
      <c r="B57" s="51"/>
    </row>
    <row r="58" spans="1:2" x14ac:dyDescent="0.25">
      <c r="A58" s="51"/>
      <c r="B58" s="51"/>
    </row>
    <row r="59" spans="1:2" x14ac:dyDescent="0.25">
      <c r="A59" s="51"/>
      <c r="B59" s="51"/>
    </row>
    <row r="60" spans="1:2" x14ac:dyDescent="0.25">
      <c r="A60" s="51"/>
      <c r="B60" s="51"/>
    </row>
    <row r="61" spans="1:2" x14ac:dyDescent="0.25">
      <c r="A61" s="51"/>
      <c r="B61" s="51"/>
    </row>
    <row r="62" spans="1:2" x14ac:dyDescent="0.25">
      <c r="A62" s="51"/>
      <c r="B62" s="51"/>
    </row>
    <row r="63" spans="1:2" x14ac:dyDescent="0.25">
      <c r="A63" s="51"/>
      <c r="B63" s="51"/>
    </row>
    <row r="64" spans="1:2" x14ac:dyDescent="0.25">
      <c r="A64" s="51"/>
      <c r="B64" s="51"/>
    </row>
    <row r="65" spans="1:2" x14ac:dyDescent="0.25">
      <c r="A65" s="51"/>
      <c r="B65" s="51"/>
    </row>
    <row r="66" spans="1:2" x14ac:dyDescent="0.25">
      <c r="A66" s="51"/>
      <c r="B66" s="51"/>
    </row>
    <row r="67" spans="1:2" x14ac:dyDescent="0.25">
      <c r="A67" s="51"/>
      <c r="B67" s="51"/>
    </row>
    <row r="68" spans="1:2" x14ac:dyDescent="0.25">
      <c r="A68" s="51"/>
      <c r="B68" s="51"/>
    </row>
    <row r="69" spans="1:2" x14ac:dyDescent="0.25">
      <c r="A69" s="51"/>
      <c r="B69" s="51"/>
    </row>
    <row r="70" spans="1:2" x14ac:dyDescent="0.25">
      <c r="A70" s="51"/>
      <c r="B70" s="51"/>
    </row>
    <row r="71" spans="1:2" x14ac:dyDescent="0.25">
      <c r="A71" s="51"/>
      <c r="B71" s="51"/>
    </row>
    <row r="72" spans="1:2" x14ac:dyDescent="0.25">
      <c r="A72" s="51"/>
      <c r="B72" s="51"/>
    </row>
    <row r="73" spans="1:2" x14ac:dyDescent="0.25">
      <c r="A73" s="51"/>
      <c r="B73" s="51"/>
    </row>
    <row r="74" spans="1:2" x14ac:dyDescent="0.25">
      <c r="A74" s="51"/>
      <c r="B74" s="51"/>
    </row>
    <row r="75" spans="1:2" x14ac:dyDescent="0.25">
      <c r="A75" s="51"/>
      <c r="B75" s="51"/>
    </row>
    <row r="76" spans="1:2" x14ac:dyDescent="0.25">
      <c r="A76" s="51"/>
      <c r="B76" s="51"/>
    </row>
    <row r="77" spans="1:2" x14ac:dyDescent="0.25">
      <c r="A77" s="51"/>
      <c r="B77" s="51"/>
    </row>
    <row r="78" spans="1:2" x14ac:dyDescent="0.25">
      <c r="A78" s="51"/>
      <c r="B78" s="51"/>
    </row>
    <row r="79" spans="1:2" x14ac:dyDescent="0.25">
      <c r="A79" s="51"/>
      <c r="B79" s="51"/>
    </row>
    <row r="80" spans="1:2" x14ac:dyDescent="0.25">
      <c r="A80" s="51"/>
      <c r="B80" s="51"/>
    </row>
    <row r="81" spans="1:2" x14ac:dyDescent="0.25">
      <c r="A81" s="51"/>
      <c r="B81" s="51"/>
    </row>
    <row r="82" spans="1:2" x14ac:dyDescent="0.25">
      <c r="A82" s="51"/>
      <c r="B82" s="51"/>
    </row>
    <row r="83" spans="1:2" x14ac:dyDescent="0.25">
      <c r="A83" s="51"/>
      <c r="B83" s="51"/>
    </row>
    <row r="84" spans="1:2" x14ac:dyDescent="0.25">
      <c r="A84" s="51"/>
      <c r="B84" s="51"/>
    </row>
    <row r="85" spans="1:2" x14ac:dyDescent="0.25">
      <c r="A85" s="51"/>
      <c r="B85" s="51"/>
    </row>
    <row r="86" spans="1:2" x14ac:dyDescent="0.25">
      <c r="A86" s="51"/>
      <c r="B86" s="51"/>
    </row>
    <row r="87" spans="1:2" x14ac:dyDescent="0.25">
      <c r="A87" s="51"/>
      <c r="B87" s="51"/>
    </row>
    <row r="88" spans="1:2" x14ac:dyDescent="0.25">
      <c r="A88" s="51"/>
      <c r="B88" s="51"/>
    </row>
    <row r="89" spans="1:2" x14ac:dyDescent="0.25">
      <c r="A89" s="51"/>
      <c r="B89" s="51"/>
    </row>
    <row r="90" spans="1:2" x14ac:dyDescent="0.25">
      <c r="A90" s="51"/>
      <c r="B90" s="51"/>
    </row>
    <row r="91" spans="1:2" x14ac:dyDescent="0.25">
      <c r="A91" s="51"/>
      <c r="B91" s="51"/>
    </row>
    <row r="92" spans="1:2" x14ac:dyDescent="0.25">
      <c r="A92" s="51"/>
      <c r="B92" s="51"/>
    </row>
    <row r="93" spans="1:2" x14ac:dyDescent="0.25">
      <c r="A93" s="51"/>
      <c r="B93" s="51"/>
    </row>
    <row r="94" spans="1:2" x14ac:dyDescent="0.25">
      <c r="A94" s="51"/>
      <c r="B94" s="51"/>
    </row>
    <row r="95" spans="1:2" x14ac:dyDescent="0.25">
      <c r="A95" s="51"/>
      <c r="B95" s="51"/>
    </row>
    <row r="96" spans="1:2" x14ac:dyDescent="0.25">
      <c r="A96" s="51"/>
      <c r="B96" s="51"/>
    </row>
    <row r="97" spans="1:2" x14ac:dyDescent="0.25">
      <c r="A97" s="51"/>
      <c r="B97" s="51"/>
    </row>
    <row r="98" spans="1:2" x14ac:dyDescent="0.25">
      <c r="A98" s="51"/>
      <c r="B98" s="51"/>
    </row>
    <row r="99" spans="1:2" x14ac:dyDescent="0.25">
      <c r="A99" s="51"/>
      <c r="B99" s="51"/>
    </row>
    <row r="100" spans="1:2" x14ac:dyDescent="0.25">
      <c r="A100" s="51"/>
      <c r="B100" s="51"/>
    </row>
    <row r="101" spans="1:2" x14ac:dyDescent="0.25">
      <c r="A101" s="51"/>
      <c r="B101" s="51"/>
    </row>
    <row r="102" spans="1:2" x14ac:dyDescent="0.25">
      <c r="A102" s="51"/>
      <c r="B102" s="51"/>
    </row>
  </sheetData>
  <mergeCells count="99">
    <mergeCell ref="A86:B86"/>
    <mergeCell ref="A87:B87"/>
    <mergeCell ref="A88:B88"/>
    <mergeCell ref="A89:B89"/>
    <mergeCell ref="A84:B84"/>
    <mergeCell ref="A80:B80"/>
    <mergeCell ref="A81:B81"/>
    <mergeCell ref="A82:B82"/>
    <mergeCell ref="A83:B83"/>
    <mergeCell ref="A85:B85"/>
    <mergeCell ref="A76:B76"/>
    <mergeCell ref="A77:B77"/>
    <mergeCell ref="A101:B101"/>
    <mergeCell ref="A102:B102"/>
    <mergeCell ref="A91:B91"/>
    <mergeCell ref="A92:B92"/>
    <mergeCell ref="A93:B93"/>
    <mergeCell ref="A94:B94"/>
    <mergeCell ref="A95:B95"/>
    <mergeCell ref="A96:B96"/>
    <mergeCell ref="A97:B97"/>
    <mergeCell ref="A98:B98"/>
    <mergeCell ref="A99:B99"/>
    <mergeCell ref="A100:B100"/>
    <mergeCell ref="A90:B90"/>
    <mergeCell ref="A79:B79"/>
    <mergeCell ref="A78:B78"/>
    <mergeCell ref="A72:B72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70:B70"/>
    <mergeCell ref="A71:B71"/>
    <mergeCell ref="A73:B73"/>
    <mergeCell ref="A74:B74"/>
    <mergeCell ref="A75:B75"/>
    <mergeCell ref="A60:B60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48:B48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36:B36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8:B8"/>
    <mergeCell ref="A12:B12"/>
    <mergeCell ref="A6:B6"/>
    <mergeCell ref="A5:B5"/>
    <mergeCell ref="A24:B24"/>
    <mergeCell ref="A13:B13"/>
    <mergeCell ref="A14:B14"/>
    <mergeCell ref="A15:B15"/>
    <mergeCell ref="A16:B16"/>
    <mergeCell ref="A17:B17"/>
    <mergeCell ref="A19:B19"/>
    <mergeCell ref="A20:B20"/>
    <mergeCell ref="A21:B21"/>
    <mergeCell ref="A22:B22"/>
    <mergeCell ref="A23:B23"/>
    <mergeCell ref="A18:B18"/>
    <mergeCell ref="A4:B4"/>
    <mergeCell ref="A3:B3"/>
    <mergeCell ref="A2:B2"/>
    <mergeCell ref="A1:B1"/>
    <mergeCell ref="A7:B7"/>
  </mergeCells>
  <conditionalFormatting sqref="B9:B10">
    <cfRule type="containsText" dxfId="0" priority="1" operator="containsText" text="Manual Input">
      <formula>NOT(ISERROR(SEARCH("Manual Input",B9)))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AutomaticNewdis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AutomaticEditdis">
                <anchor moveWithCells="1" sizeWithCells="1">
                  <from>
                    <xdr:col>3</xdr:col>
                    <xdr:colOff>9525</xdr:colOff>
                    <xdr:row>5</xdr:row>
                    <xdr:rowOff>19050</xdr:rowOff>
                  </from>
                  <to>
                    <xdr:col>7</xdr:col>
                    <xdr:colOff>590550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Macro4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7</xdr:col>
                    <xdr:colOff>590550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D7138971-9495-4E73-BED6-B925CF5BD5D8}">
          <x14:formula1>
            <xm:f>Sheet2!$E$4:$E$10</xm:f>
          </x14:formula1>
          <xm:sqref>C6</xm:sqref>
        </x14:dataValidation>
        <x14:dataValidation type="list" showInputMessage="1" showErrorMessage="1" xr:uid="{C131D34B-26E8-45A0-BA29-205DFBB60FF1}">
          <x14:formula1>
            <xm:f>Sheet2!$G$4:$G$16</xm:f>
          </x14:formula1>
          <xm:sqref>C7 J3</xm:sqref>
        </x14:dataValidation>
        <x14:dataValidation type="list" allowBlank="1" showInputMessage="1" showErrorMessage="1" xr:uid="{DA6AB6DD-9AF7-4FEF-8A88-96703C63ABC6}">
          <x14:formula1>
            <xm:f>Sheet2!$J$4:$J$8</xm:f>
          </x14:formula1>
          <xm:sqref>C8</xm:sqref>
        </x14:dataValidation>
        <x14:dataValidation type="list" showInputMessage="1" showErrorMessage="1" xr:uid="{801A5AF6-C22B-42B1-A2D7-1C04C509ED7B}">
          <x14:formula1>
            <xm:f>Sheet2!$F$23:$F$51</xm:f>
          </x14:formula1>
          <xm:sqref>C11</xm:sqref>
        </x14:dataValidation>
        <x14:dataValidation type="list" allowBlank="1" showInputMessage="1" showErrorMessage="1" xr:uid="{74757896-8D29-43F8-BEAD-E68646797F0E}">
          <x14:formula1>
            <xm:f>Sheet2!$I$9:$I$17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5568F-9832-46AA-A12D-44D9D0B393C2}">
  <sheetPr codeName="Sheet3"/>
  <dimension ref="A1:B52"/>
  <sheetViews>
    <sheetView showGridLines="0" workbookViewId="0">
      <selection sqref="A1:B31"/>
    </sheetView>
  </sheetViews>
  <sheetFormatPr defaultRowHeight="15" x14ac:dyDescent="0.25"/>
  <cols>
    <col min="1" max="1" width="98.5703125" style="9" bestFit="1" customWidth="1"/>
    <col min="2" max="2" width="96" customWidth="1"/>
  </cols>
  <sheetData>
    <row r="1" spans="1:2" x14ac:dyDescent="0.25">
      <c r="A1" s="13" t="s">
        <v>102</v>
      </c>
      <c r="B1" s="13" t="s">
        <v>130</v>
      </c>
    </row>
    <row r="2" spans="1:2" x14ac:dyDescent="0.25">
      <c r="A2" s="14" t="s">
        <v>114</v>
      </c>
      <c r="B2" s="14" t="s">
        <v>114</v>
      </c>
    </row>
    <row r="3" spans="1:2" x14ac:dyDescent="0.25">
      <c r="A3" s="14" t="s">
        <v>115</v>
      </c>
      <c r="B3" s="14" t="s">
        <v>115</v>
      </c>
    </row>
    <row r="4" spans="1:2" x14ac:dyDescent="0.25">
      <c r="A4" s="14" t="s">
        <v>116</v>
      </c>
      <c r="B4" s="14" t="s">
        <v>131</v>
      </c>
    </row>
    <row r="5" spans="1:2" x14ac:dyDescent="0.25">
      <c r="A5" s="14" t="s">
        <v>117</v>
      </c>
      <c r="B5" s="14" t="s">
        <v>132</v>
      </c>
    </row>
    <row r="6" spans="1:2" x14ac:dyDescent="0.25">
      <c r="A6" s="14" t="s">
        <v>118</v>
      </c>
      <c r="B6" s="14"/>
    </row>
    <row r="7" spans="1:2" x14ac:dyDescent="0.25">
      <c r="A7" s="14"/>
      <c r="B7" s="14" t="s">
        <v>120</v>
      </c>
    </row>
    <row r="8" spans="1:2" x14ac:dyDescent="0.25">
      <c r="A8" s="14" t="s">
        <v>119</v>
      </c>
      <c r="B8" s="14" t="s">
        <v>121</v>
      </c>
    </row>
    <row r="9" spans="1:2" x14ac:dyDescent="0.25">
      <c r="A9" s="14"/>
      <c r="B9" s="14"/>
    </row>
    <row r="10" spans="1:2" x14ac:dyDescent="0.25">
      <c r="A10" s="14"/>
      <c r="B10" s="14" t="s">
        <v>133</v>
      </c>
    </row>
    <row r="11" spans="1:2" x14ac:dyDescent="0.25">
      <c r="A11" s="14" t="s">
        <v>120</v>
      </c>
      <c r="B11" s="10"/>
    </row>
    <row r="12" spans="1:2" x14ac:dyDescent="0.25">
      <c r="A12" s="14" t="s">
        <v>121</v>
      </c>
      <c r="B12" s="13" t="s">
        <v>95</v>
      </c>
    </row>
    <row r="13" spans="1:2" x14ac:dyDescent="0.25">
      <c r="A13" s="14"/>
      <c r="B13" s="14" t="s">
        <v>134</v>
      </c>
    </row>
    <row r="14" spans="1:2" x14ac:dyDescent="0.25">
      <c r="A14" s="14" t="s">
        <v>122</v>
      </c>
      <c r="B14" s="14" t="s">
        <v>135</v>
      </c>
    </row>
    <row r="15" spans="1:2" x14ac:dyDescent="0.25">
      <c r="A15" s="14"/>
      <c r="B15" s="14" t="s">
        <v>114</v>
      </c>
    </row>
    <row r="16" spans="1:2" x14ac:dyDescent="0.25">
      <c r="A16" s="11"/>
      <c r="B16" s="14" t="s">
        <v>115</v>
      </c>
    </row>
    <row r="17" spans="1:2" x14ac:dyDescent="0.25">
      <c r="A17" s="13" t="s">
        <v>123</v>
      </c>
      <c r="B17" s="14" t="s">
        <v>132</v>
      </c>
    </row>
    <row r="18" spans="1:2" x14ac:dyDescent="0.25">
      <c r="A18" s="14" t="s">
        <v>114</v>
      </c>
      <c r="B18" s="14"/>
    </row>
    <row r="19" spans="1:2" x14ac:dyDescent="0.25">
      <c r="A19" s="14" t="s">
        <v>116</v>
      </c>
      <c r="B19" s="18" t="s">
        <v>136</v>
      </c>
    </row>
    <row r="20" spans="1:2" x14ac:dyDescent="0.25">
      <c r="A20" s="14" t="s">
        <v>124</v>
      </c>
      <c r="B20" s="12"/>
    </row>
    <row r="21" spans="1:2" x14ac:dyDescent="0.25">
      <c r="A21" s="14" t="s">
        <v>125</v>
      </c>
    </row>
    <row r="22" spans="1:2" x14ac:dyDescent="0.25">
      <c r="A22" s="14" t="s">
        <v>126</v>
      </c>
    </row>
    <row r="23" spans="1:2" x14ac:dyDescent="0.25">
      <c r="A23" s="14" t="s">
        <v>127</v>
      </c>
    </row>
    <row r="24" spans="1:2" x14ac:dyDescent="0.25">
      <c r="A24" s="14"/>
    </row>
    <row r="25" spans="1:2" x14ac:dyDescent="0.25">
      <c r="A25" s="14" t="s">
        <v>120</v>
      </c>
    </row>
    <row r="26" spans="1:2" x14ac:dyDescent="0.25">
      <c r="A26" s="14" t="s">
        <v>121</v>
      </c>
    </row>
    <row r="27" spans="1:2" x14ac:dyDescent="0.25">
      <c r="A27" s="14"/>
    </row>
    <row r="28" spans="1:2" x14ac:dyDescent="0.25">
      <c r="A28" s="14" t="s">
        <v>128</v>
      </c>
    </row>
    <row r="29" spans="1:2" x14ac:dyDescent="0.25">
      <c r="A29" s="15"/>
    </row>
    <row r="30" spans="1:2" x14ac:dyDescent="0.25">
      <c r="A30" s="16" t="s">
        <v>129</v>
      </c>
    </row>
    <row r="31" spans="1:2" x14ac:dyDescent="0.25">
      <c r="A31" s="17"/>
    </row>
    <row r="32" spans="1:2" x14ac:dyDescent="0.25">
      <c r="A32" s="8"/>
    </row>
    <row r="33" spans="1:1" x14ac:dyDescent="0.25">
      <c r="A33" s="7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7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</sheetData>
  <hyperlinks>
    <hyperlink ref="A30" r:id="rId1" display="mailto:cst.dach@sap.com" xr:uid="{342F69C9-C205-4AFE-B99C-4D23E83D463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2865D-E362-4308-9547-9E680964154A}">
  <sheetPr codeName="Sheet2"/>
  <dimension ref="E3:K50"/>
  <sheetViews>
    <sheetView topLeftCell="E1" workbookViewId="0">
      <selection activeCell="M20" sqref="M20"/>
    </sheetView>
  </sheetViews>
  <sheetFormatPr defaultRowHeight="15" x14ac:dyDescent="0.25"/>
  <cols>
    <col min="5" max="5" width="27.140625" bestFit="1" customWidth="1"/>
    <col min="6" max="6" width="59.5703125" bestFit="1" customWidth="1"/>
    <col min="8" max="8" width="37.5703125" customWidth="1"/>
    <col min="9" max="9" width="14" bestFit="1" customWidth="1"/>
    <col min="10" max="10" width="10.28515625" bestFit="1" customWidth="1"/>
  </cols>
  <sheetData>
    <row r="3" spans="5:11" x14ac:dyDescent="0.25">
      <c r="E3" t="s">
        <v>4</v>
      </c>
      <c r="F3" t="s">
        <v>7</v>
      </c>
    </row>
    <row r="4" spans="5:11" x14ac:dyDescent="0.25">
      <c r="E4" t="s">
        <v>103</v>
      </c>
      <c r="F4" t="s">
        <v>8</v>
      </c>
      <c r="G4" t="str">
        <f>SUBSTITUTE(F4,"'","")</f>
        <v>RoDC: In Process for O2I</v>
      </c>
      <c r="J4" s="3" t="s">
        <v>110</v>
      </c>
    </row>
    <row r="5" spans="5:11" x14ac:dyDescent="0.25">
      <c r="E5" t="s">
        <v>104</v>
      </c>
      <c r="F5" t="s">
        <v>9</v>
      </c>
      <c r="G5" t="str">
        <f t="shared" ref="G5:G15" si="0">SUBSTITUTE(F5,"'","")</f>
        <v>NGBC: On Hold for O2I</v>
      </c>
      <c r="J5" s="3" t="s">
        <v>22</v>
      </c>
    </row>
    <row r="6" spans="5:11" x14ac:dyDescent="0.25">
      <c r="E6" t="s">
        <v>105</v>
      </c>
      <c r="F6" t="s">
        <v>10</v>
      </c>
      <c r="G6" t="str">
        <f t="shared" si="0"/>
        <v>RoDC: Bankruptcy/Insolvent</v>
      </c>
      <c r="J6" s="3" t="s">
        <v>23</v>
      </c>
    </row>
    <row r="7" spans="5:11" x14ac:dyDescent="0.25">
      <c r="E7" t="s">
        <v>106</v>
      </c>
      <c r="F7" t="s">
        <v>11</v>
      </c>
      <c r="G7" t="str">
        <f t="shared" si="0"/>
        <v>RoDC: Closed/Confirmed</v>
      </c>
      <c r="J7" s="3" t="s">
        <v>111</v>
      </c>
    </row>
    <row r="8" spans="5:11" x14ac:dyDescent="0.25">
      <c r="E8" t="s">
        <v>107</v>
      </c>
      <c r="F8" t="s">
        <v>12</v>
      </c>
      <c r="G8" t="str">
        <f t="shared" si="0"/>
        <v>RoDC: Credit Balance</v>
      </c>
    </row>
    <row r="9" spans="5:11" ht="15.75" x14ac:dyDescent="0.25">
      <c r="E9" t="s">
        <v>108</v>
      </c>
      <c r="F9" t="s">
        <v>13</v>
      </c>
      <c r="G9" t="str">
        <f t="shared" si="0"/>
        <v>RoDC: In Process for Approvers</v>
      </c>
      <c r="I9" t="s">
        <v>95</v>
      </c>
      <c r="J9" s="1" t="s">
        <v>3</v>
      </c>
      <c r="K9" s="1" t="s">
        <v>91</v>
      </c>
    </row>
    <row r="10" spans="5:11" ht="15.75" x14ac:dyDescent="0.25">
      <c r="E10" t="s">
        <v>109</v>
      </c>
      <c r="F10" t="s">
        <v>14</v>
      </c>
      <c r="G10" t="str">
        <f>SUBSTITUTE(F10,"'","")</f>
        <v>RoDC: In Process for CC</v>
      </c>
      <c r="I10" t="s">
        <v>102</v>
      </c>
      <c r="J10" t="s">
        <v>140</v>
      </c>
      <c r="K10" s="1" t="s">
        <v>113</v>
      </c>
    </row>
    <row r="11" spans="5:11" ht="15.75" x14ac:dyDescent="0.25">
      <c r="F11" t="s">
        <v>15</v>
      </c>
      <c r="G11" t="str">
        <f t="shared" si="0"/>
        <v>RoDC: In Process for Customer</v>
      </c>
      <c r="I11" t="s">
        <v>101</v>
      </c>
      <c r="J11" s="2" t="s">
        <v>85</v>
      </c>
      <c r="K11" s="2" t="s">
        <v>90</v>
      </c>
    </row>
    <row r="12" spans="5:11" ht="15.75" x14ac:dyDescent="0.25">
      <c r="F12" t="s">
        <v>16</v>
      </c>
      <c r="G12" t="str">
        <f t="shared" si="0"/>
        <v>NGBC: In Process for DID</v>
      </c>
      <c r="I12" t="s">
        <v>100</v>
      </c>
      <c r="J12" s="1" t="s">
        <v>92</v>
      </c>
      <c r="K12" s="2"/>
    </row>
    <row r="13" spans="5:11" ht="15.75" x14ac:dyDescent="0.25">
      <c r="F13" t="s">
        <v>17</v>
      </c>
      <c r="G13" t="str">
        <f t="shared" si="0"/>
        <v>RoDC: Legal/Highly Escalated Cases</v>
      </c>
      <c r="I13" t="s">
        <v>99</v>
      </c>
      <c r="J13" s="1" t="s">
        <v>93</v>
      </c>
      <c r="K13" s="1" t="s">
        <v>94</v>
      </c>
    </row>
    <row r="14" spans="5:11" x14ac:dyDescent="0.25">
      <c r="F14" t="s">
        <v>18</v>
      </c>
      <c r="G14" t="str">
        <f t="shared" si="0"/>
        <v>RoDC: New</v>
      </c>
      <c r="I14" t="s">
        <v>98</v>
      </c>
      <c r="J14" t="s">
        <v>144</v>
      </c>
      <c r="K14" t="s">
        <v>86</v>
      </c>
    </row>
    <row r="15" spans="5:11" x14ac:dyDescent="0.25">
      <c r="F15" t="s">
        <v>19</v>
      </c>
      <c r="G15" t="str">
        <f t="shared" si="0"/>
        <v>RoDC: Termination</v>
      </c>
      <c r="I15" t="s">
        <v>97</v>
      </c>
      <c r="J15" t="s">
        <v>145</v>
      </c>
      <c r="K15" t="s">
        <v>87</v>
      </c>
    </row>
    <row r="16" spans="5:11" x14ac:dyDescent="0.25">
      <c r="I16" t="s">
        <v>96</v>
      </c>
      <c r="J16" t="s">
        <v>88</v>
      </c>
      <c r="K16" t="s">
        <v>89</v>
      </c>
    </row>
    <row r="17" spans="5:10" x14ac:dyDescent="0.25">
      <c r="I17" t="s">
        <v>139</v>
      </c>
      <c r="J17" t="s">
        <v>140</v>
      </c>
    </row>
    <row r="23" spans="5:10" x14ac:dyDescent="0.25">
      <c r="E23" t="s">
        <v>25</v>
      </c>
      <c r="F23" t="s">
        <v>26</v>
      </c>
    </row>
    <row r="24" spans="5:10" x14ac:dyDescent="0.25">
      <c r="E24" t="s">
        <v>27</v>
      </c>
      <c r="F24" t="s">
        <v>28</v>
      </c>
    </row>
    <row r="25" spans="5:10" x14ac:dyDescent="0.25">
      <c r="E25" t="s">
        <v>29</v>
      </c>
      <c r="F25" t="s">
        <v>30</v>
      </c>
    </row>
    <row r="26" spans="5:10" x14ac:dyDescent="0.25">
      <c r="E26" t="s">
        <v>31</v>
      </c>
      <c r="F26" t="s">
        <v>32</v>
      </c>
    </row>
    <row r="27" spans="5:10" x14ac:dyDescent="0.25">
      <c r="E27" t="s">
        <v>33</v>
      </c>
      <c r="F27" t="s">
        <v>34</v>
      </c>
    </row>
    <row r="28" spans="5:10" x14ac:dyDescent="0.25">
      <c r="E28" t="s">
        <v>35</v>
      </c>
      <c r="F28" t="s">
        <v>36</v>
      </c>
    </row>
    <row r="29" spans="5:10" x14ac:dyDescent="0.25">
      <c r="E29" t="s">
        <v>37</v>
      </c>
      <c r="F29" t="s">
        <v>38</v>
      </c>
    </row>
    <row r="30" spans="5:10" x14ac:dyDescent="0.25">
      <c r="E30" t="s">
        <v>39</v>
      </c>
      <c r="F30" t="s">
        <v>40</v>
      </c>
    </row>
    <row r="31" spans="5:10" x14ac:dyDescent="0.25">
      <c r="E31" t="s">
        <v>41</v>
      </c>
      <c r="F31" t="s">
        <v>42</v>
      </c>
    </row>
    <row r="32" spans="5:10" x14ac:dyDescent="0.25">
      <c r="E32" t="s">
        <v>43</v>
      </c>
      <c r="F32" t="s">
        <v>44</v>
      </c>
    </row>
    <row r="33" spans="5:6" x14ac:dyDescent="0.25">
      <c r="E33" t="s">
        <v>45</v>
      </c>
      <c r="F33" t="s">
        <v>46</v>
      </c>
    </row>
    <row r="34" spans="5:6" x14ac:dyDescent="0.25">
      <c r="E34" t="s">
        <v>47</v>
      </c>
      <c r="F34" t="s">
        <v>48</v>
      </c>
    </row>
    <row r="35" spans="5:6" x14ac:dyDescent="0.25">
      <c r="E35" t="s">
        <v>49</v>
      </c>
      <c r="F35" t="s">
        <v>50</v>
      </c>
    </row>
    <row r="36" spans="5:6" x14ac:dyDescent="0.25">
      <c r="E36" t="s">
        <v>51</v>
      </c>
      <c r="F36" t="s">
        <v>52</v>
      </c>
    </row>
    <row r="37" spans="5:6" x14ac:dyDescent="0.25">
      <c r="E37" t="s">
        <v>53</v>
      </c>
      <c r="F37" t="s">
        <v>54</v>
      </c>
    </row>
    <row r="38" spans="5:6" x14ac:dyDescent="0.25">
      <c r="E38" t="s">
        <v>55</v>
      </c>
      <c r="F38" t="s">
        <v>56</v>
      </c>
    </row>
    <row r="39" spans="5:6" x14ac:dyDescent="0.25">
      <c r="E39" t="s">
        <v>57</v>
      </c>
      <c r="F39" t="s">
        <v>58</v>
      </c>
    </row>
    <row r="40" spans="5:6" x14ac:dyDescent="0.25">
      <c r="E40" t="s">
        <v>59</v>
      </c>
      <c r="F40" t="s">
        <v>60</v>
      </c>
    </row>
    <row r="41" spans="5:6" x14ac:dyDescent="0.25">
      <c r="E41" t="s">
        <v>61</v>
      </c>
      <c r="F41" t="s">
        <v>62</v>
      </c>
    </row>
    <row r="42" spans="5:6" x14ac:dyDescent="0.25">
      <c r="E42" t="s">
        <v>63</v>
      </c>
      <c r="F42" t="s">
        <v>64</v>
      </c>
    </row>
    <row r="43" spans="5:6" x14ac:dyDescent="0.25">
      <c r="E43" t="s">
        <v>65</v>
      </c>
      <c r="F43" t="s">
        <v>66</v>
      </c>
    </row>
    <row r="44" spans="5:6" x14ac:dyDescent="0.25">
      <c r="E44" t="s">
        <v>67</v>
      </c>
      <c r="F44" t="s">
        <v>68</v>
      </c>
    </row>
    <row r="45" spans="5:6" x14ac:dyDescent="0.25">
      <c r="E45" t="s">
        <v>69</v>
      </c>
      <c r="F45" t="s">
        <v>70</v>
      </c>
    </row>
    <row r="46" spans="5:6" x14ac:dyDescent="0.25">
      <c r="E46" t="s">
        <v>71</v>
      </c>
      <c r="F46" t="s">
        <v>72</v>
      </c>
    </row>
    <row r="47" spans="5:6" x14ac:dyDescent="0.25">
      <c r="E47" t="s">
        <v>73</v>
      </c>
      <c r="F47" t="s">
        <v>74</v>
      </c>
    </row>
    <row r="48" spans="5:6" x14ac:dyDescent="0.25">
      <c r="E48" t="s">
        <v>75</v>
      </c>
      <c r="F48" t="s">
        <v>76</v>
      </c>
    </row>
    <row r="49" spans="5:6" x14ac:dyDescent="0.25">
      <c r="E49" t="s">
        <v>77</v>
      </c>
      <c r="F49" t="s">
        <v>78</v>
      </c>
    </row>
    <row r="50" spans="5:6" x14ac:dyDescent="0.25">
      <c r="E50" t="s">
        <v>79</v>
      </c>
      <c r="F50" t="s">
        <v>80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Dispute case Regel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2025-02-28T09:38:53Z</dcterms:modified>
</cp:coreProperties>
</file>