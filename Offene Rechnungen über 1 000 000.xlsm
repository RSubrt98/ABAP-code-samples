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p-my.sharepoint.com/personal/richard_subrt_sap_com/Documents/Plocha/Templates/Richard all working/"/>
    </mc:Choice>
  </mc:AlternateContent>
  <xr:revisionPtr revIDLastSave="1390" documentId="13_ncr:1_{EE290AE0-917E-438E-BFD5-94CDFD8B73F1}" xr6:coauthVersionLast="47" xr6:coauthVersionMax="47" xr10:uidLastSave="{8EFB4824-92F0-43C4-BC2C-6A28FAA885F5}"/>
  <bookViews>
    <workbookView xWindow="13590" yWindow="-21600" windowWidth="26010" windowHeight="20985" xr2:uid="{00000000-000D-0000-FFFF-FFFF00000000}"/>
  </bookViews>
  <sheets>
    <sheet name="Friday Report" sheetId="5" r:id="rId1"/>
    <sheet name="Info Pivot" sheetId="8" r:id="rId2"/>
    <sheet name="Data" sheetId="6" r:id="rId3"/>
  </sheets>
  <definedNames>
    <definedName name="_xlnm._FilterDatabase" localSheetId="2" hidden="1">Data!$A$1:$C$1428</definedName>
    <definedName name="_xlnm._FilterDatabase" localSheetId="0" hidden="1">'Friday Report'!$A$4:$L$23</definedName>
  </definedNames>
  <calcPr calcId="191029"/>
  <pivotCaches>
    <pivotCache cacheId="1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6" l="1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M501" i="6"/>
  <c r="M502" i="6"/>
  <c r="M503" i="6"/>
  <c r="M504" i="6"/>
  <c r="M505" i="6"/>
  <c r="M506" i="6"/>
  <c r="M507" i="6"/>
  <c r="M508" i="6"/>
  <c r="M509" i="6"/>
  <c r="M510" i="6"/>
  <c r="M511" i="6"/>
  <c r="M512" i="6"/>
  <c r="M513" i="6"/>
  <c r="M514" i="6"/>
  <c r="M515" i="6"/>
  <c r="M516" i="6"/>
  <c r="M517" i="6"/>
  <c r="M518" i="6"/>
  <c r="M519" i="6"/>
  <c r="M520" i="6"/>
  <c r="M521" i="6"/>
  <c r="M522" i="6"/>
  <c r="M523" i="6"/>
  <c r="M524" i="6"/>
  <c r="M525" i="6"/>
  <c r="M526" i="6"/>
  <c r="M527" i="6"/>
  <c r="M528" i="6"/>
  <c r="M529" i="6"/>
  <c r="M530" i="6"/>
  <c r="M531" i="6"/>
  <c r="M532" i="6"/>
  <c r="M533" i="6"/>
  <c r="M534" i="6"/>
  <c r="M535" i="6"/>
  <c r="M536" i="6"/>
  <c r="M537" i="6"/>
  <c r="M538" i="6"/>
  <c r="M539" i="6"/>
  <c r="M540" i="6"/>
  <c r="M541" i="6"/>
  <c r="M542" i="6"/>
  <c r="M543" i="6"/>
  <c r="M544" i="6"/>
  <c r="M545" i="6"/>
  <c r="M546" i="6"/>
  <c r="M547" i="6"/>
  <c r="M548" i="6"/>
  <c r="M549" i="6"/>
  <c r="M550" i="6"/>
  <c r="M551" i="6"/>
  <c r="M552" i="6"/>
  <c r="M553" i="6"/>
  <c r="M554" i="6"/>
  <c r="M555" i="6"/>
  <c r="M556" i="6"/>
  <c r="M557" i="6"/>
  <c r="M558" i="6"/>
  <c r="M559" i="6"/>
  <c r="M560" i="6"/>
  <c r="M561" i="6"/>
  <c r="M562" i="6"/>
  <c r="M563" i="6"/>
  <c r="M564" i="6"/>
  <c r="M565" i="6"/>
  <c r="M566" i="6"/>
  <c r="M567" i="6"/>
  <c r="M568" i="6"/>
  <c r="M569" i="6"/>
  <c r="M570" i="6"/>
  <c r="M571" i="6"/>
  <c r="M572" i="6"/>
  <c r="M573" i="6"/>
  <c r="M574" i="6"/>
  <c r="M575" i="6"/>
  <c r="M576" i="6"/>
  <c r="M577" i="6"/>
  <c r="M578" i="6"/>
  <c r="M579" i="6"/>
  <c r="M580" i="6"/>
  <c r="M581" i="6"/>
  <c r="M582" i="6"/>
  <c r="M583" i="6"/>
  <c r="M584" i="6"/>
  <c r="M585" i="6"/>
  <c r="M586" i="6"/>
  <c r="M587" i="6"/>
  <c r="M588" i="6"/>
  <c r="M589" i="6"/>
  <c r="M590" i="6"/>
  <c r="M591" i="6"/>
  <c r="M592" i="6"/>
  <c r="M593" i="6"/>
  <c r="M594" i="6"/>
  <c r="M595" i="6"/>
  <c r="M596" i="6"/>
  <c r="M597" i="6"/>
  <c r="M598" i="6"/>
  <c r="M599" i="6"/>
  <c r="M600" i="6"/>
  <c r="M601" i="6"/>
  <c r="M602" i="6"/>
  <c r="M603" i="6"/>
  <c r="M604" i="6"/>
  <c r="M605" i="6"/>
  <c r="M606" i="6"/>
  <c r="M607" i="6"/>
  <c r="M608" i="6"/>
  <c r="M609" i="6"/>
  <c r="M610" i="6"/>
  <c r="M611" i="6"/>
  <c r="M612" i="6"/>
  <c r="M613" i="6"/>
  <c r="M614" i="6"/>
  <c r="M615" i="6"/>
  <c r="M616" i="6"/>
  <c r="M617" i="6"/>
  <c r="M618" i="6"/>
  <c r="M619" i="6"/>
  <c r="M620" i="6"/>
  <c r="M621" i="6"/>
  <c r="M622" i="6"/>
  <c r="M623" i="6"/>
  <c r="M624" i="6"/>
  <c r="M625" i="6"/>
  <c r="M626" i="6"/>
  <c r="M627" i="6"/>
  <c r="M628" i="6"/>
  <c r="M629" i="6"/>
  <c r="M630" i="6"/>
  <c r="M631" i="6"/>
  <c r="M632" i="6"/>
  <c r="M633" i="6"/>
  <c r="M634" i="6"/>
  <c r="M635" i="6"/>
  <c r="M636" i="6"/>
  <c r="M637" i="6"/>
  <c r="M638" i="6"/>
  <c r="M639" i="6"/>
  <c r="M640" i="6"/>
  <c r="M641" i="6"/>
  <c r="M642" i="6"/>
  <c r="M643" i="6"/>
  <c r="M644" i="6"/>
  <c r="M645" i="6"/>
  <c r="M646" i="6"/>
  <c r="M647" i="6"/>
  <c r="M648" i="6"/>
  <c r="M649" i="6"/>
  <c r="M650" i="6"/>
  <c r="M651" i="6"/>
  <c r="M652" i="6"/>
  <c r="M653" i="6"/>
  <c r="M654" i="6"/>
  <c r="M655" i="6"/>
  <c r="M656" i="6"/>
  <c r="M657" i="6"/>
  <c r="M658" i="6"/>
  <c r="M659" i="6"/>
  <c r="M660" i="6"/>
  <c r="M661" i="6"/>
  <c r="M662" i="6"/>
  <c r="M663" i="6"/>
  <c r="M664" i="6"/>
  <c r="M665" i="6"/>
  <c r="M666" i="6"/>
  <c r="M667" i="6"/>
  <c r="M668" i="6"/>
  <c r="M669" i="6"/>
  <c r="M670" i="6"/>
  <c r="M671" i="6"/>
  <c r="M672" i="6"/>
  <c r="M673" i="6"/>
  <c r="M674" i="6"/>
  <c r="M675" i="6"/>
  <c r="M676" i="6"/>
  <c r="M677" i="6"/>
  <c r="M678" i="6"/>
  <c r="M679" i="6"/>
  <c r="M680" i="6"/>
  <c r="M681" i="6"/>
  <c r="M682" i="6"/>
  <c r="M683" i="6"/>
  <c r="M684" i="6"/>
  <c r="M685" i="6"/>
  <c r="M686" i="6"/>
  <c r="M687" i="6"/>
  <c r="M688" i="6"/>
  <c r="M689" i="6"/>
  <c r="M690" i="6"/>
  <c r="M691" i="6"/>
  <c r="M692" i="6"/>
  <c r="M693" i="6"/>
  <c r="M694" i="6"/>
  <c r="M695" i="6"/>
  <c r="M696" i="6"/>
  <c r="M697" i="6"/>
  <c r="M698" i="6"/>
  <c r="M699" i="6"/>
  <c r="M700" i="6"/>
  <c r="M701" i="6"/>
  <c r="M702" i="6"/>
  <c r="M703" i="6"/>
  <c r="M704" i="6"/>
  <c r="M705" i="6"/>
  <c r="M706" i="6"/>
  <c r="M707" i="6"/>
  <c r="M708" i="6"/>
  <c r="M709" i="6"/>
  <c r="M710" i="6"/>
  <c r="M711" i="6"/>
  <c r="M712" i="6"/>
  <c r="M713" i="6"/>
  <c r="M714" i="6"/>
  <c r="M715" i="6"/>
  <c r="M716" i="6"/>
  <c r="M717" i="6"/>
  <c r="M718" i="6"/>
  <c r="M719" i="6"/>
  <c r="M720" i="6"/>
  <c r="M721" i="6"/>
  <c r="M722" i="6"/>
  <c r="M723" i="6"/>
  <c r="M724" i="6"/>
  <c r="M725" i="6"/>
  <c r="M726" i="6"/>
  <c r="M727" i="6"/>
  <c r="M728" i="6"/>
  <c r="M729" i="6"/>
  <c r="M730" i="6"/>
  <c r="M731" i="6"/>
  <c r="M732" i="6"/>
  <c r="M733" i="6"/>
  <c r="M734" i="6"/>
  <c r="M735" i="6"/>
  <c r="M736" i="6"/>
  <c r="M737" i="6"/>
  <c r="M738" i="6"/>
  <c r="M739" i="6"/>
  <c r="M740" i="6"/>
  <c r="M741" i="6"/>
  <c r="M742" i="6"/>
  <c r="M743" i="6"/>
  <c r="M744" i="6"/>
  <c r="M745" i="6"/>
  <c r="M746" i="6"/>
  <c r="M747" i="6"/>
  <c r="M748" i="6"/>
  <c r="M749" i="6"/>
  <c r="M750" i="6"/>
  <c r="M751" i="6"/>
  <c r="M752" i="6"/>
  <c r="M753" i="6"/>
  <c r="M754" i="6"/>
  <c r="M755" i="6"/>
  <c r="M756" i="6"/>
  <c r="M757" i="6"/>
  <c r="M758" i="6"/>
  <c r="M759" i="6"/>
  <c r="M760" i="6"/>
  <c r="M761" i="6"/>
  <c r="M762" i="6"/>
  <c r="M763" i="6"/>
  <c r="M764" i="6"/>
  <c r="M765" i="6"/>
  <c r="M766" i="6"/>
  <c r="M767" i="6"/>
  <c r="M768" i="6"/>
  <c r="M769" i="6"/>
  <c r="M770" i="6"/>
  <c r="M771" i="6"/>
  <c r="M772" i="6"/>
  <c r="M773" i="6"/>
  <c r="M774" i="6"/>
  <c r="M775" i="6"/>
  <c r="M776" i="6"/>
  <c r="M777" i="6"/>
  <c r="M778" i="6"/>
  <c r="M779" i="6"/>
  <c r="M780" i="6"/>
  <c r="M781" i="6"/>
  <c r="M782" i="6"/>
  <c r="M783" i="6"/>
  <c r="M784" i="6"/>
  <c r="M785" i="6"/>
  <c r="M786" i="6"/>
  <c r="M787" i="6"/>
  <c r="M788" i="6"/>
  <c r="M789" i="6"/>
  <c r="M790" i="6"/>
  <c r="M791" i="6"/>
  <c r="M792" i="6"/>
  <c r="M793" i="6"/>
  <c r="M794" i="6"/>
  <c r="M795" i="6"/>
  <c r="M796" i="6"/>
  <c r="M797" i="6"/>
  <c r="M798" i="6"/>
  <c r="M799" i="6"/>
  <c r="M800" i="6"/>
  <c r="M801" i="6"/>
  <c r="M802" i="6"/>
  <c r="M803" i="6"/>
  <c r="M804" i="6"/>
  <c r="M805" i="6"/>
  <c r="M806" i="6"/>
  <c r="M807" i="6"/>
  <c r="M808" i="6"/>
  <c r="M809" i="6"/>
  <c r="M810" i="6"/>
  <c r="M811" i="6"/>
  <c r="M812" i="6"/>
  <c r="M813" i="6"/>
  <c r="M814" i="6"/>
  <c r="M815" i="6"/>
  <c r="M816" i="6"/>
  <c r="M817" i="6"/>
  <c r="M818" i="6"/>
  <c r="M819" i="6"/>
  <c r="M820" i="6"/>
  <c r="M821" i="6"/>
  <c r="M822" i="6"/>
  <c r="M823" i="6"/>
  <c r="M824" i="6"/>
  <c r="M825" i="6"/>
  <c r="M826" i="6"/>
  <c r="M827" i="6"/>
  <c r="M828" i="6"/>
  <c r="M829" i="6"/>
  <c r="M830" i="6"/>
  <c r="M831" i="6"/>
  <c r="M832" i="6"/>
  <c r="M833" i="6"/>
  <c r="M834" i="6"/>
  <c r="M835" i="6"/>
  <c r="M836" i="6"/>
  <c r="M837" i="6"/>
  <c r="M838" i="6"/>
  <c r="M839" i="6"/>
  <c r="M840" i="6"/>
  <c r="M841" i="6"/>
  <c r="M842" i="6"/>
  <c r="M843" i="6"/>
  <c r="M844" i="6"/>
  <c r="M845" i="6"/>
  <c r="M846" i="6"/>
  <c r="M847" i="6"/>
  <c r="M848" i="6"/>
  <c r="M849" i="6"/>
  <c r="M850" i="6"/>
  <c r="M851" i="6"/>
  <c r="M852" i="6"/>
  <c r="M853" i="6"/>
  <c r="M854" i="6"/>
  <c r="M855" i="6"/>
  <c r="M856" i="6"/>
  <c r="M857" i="6"/>
  <c r="M858" i="6"/>
  <c r="M859" i="6"/>
  <c r="M860" i="6"/>
  <c r="M861" i="6"/>
  <c r="M862" i="6"/>
  <c r="M863" i="6"/>
  <c r="M864" i="6"/>
  <c r="M865" i="6"/>
  <c r="M866" i="6"/>
  <c r="M867" i="6"/>
  <c r="M868" i="6"/>
  <c r="M869" i="6"/>
  <c r="M870" i="6"/>
  <c r="M871" i="6"/>
  <c r="M872" i="6"/>
  <c r="M873" i="6"/>
  <c r="M874" i="6"/>
  <c r="M875" i="6"/>
  <c r="M876" i="6"/>
  <c r="M877" i="6"/>
  <c r="M878" i="6"/>
  <c r="M879" i="6"/>
  <c r="M880" i="6"/>
  <c r="M881" i="6"/>
  <c r="M882" i="6"/>
  <c r="M883" i="6"/>
  <c r="M884" i="6"/>
  <c r="M885" i="6"/>
  <c r="M886" i="6"/>
  <c r="M887" i="6"/>
  <c r="M888" i="6"/>
  <c r="M889" i="6"/>
  <c r="M890" i="6"/>
  <c r="M891" i="6"/>
  <c r="M892" i="6"/>
  <c r="M893" i="6"/>
  <c r="M894" i="6"/>
  <c r="M895" i="6"/>
  <c r="M896" i="6"/>
  <c r="M897" i="6"/>
  <c r="M898" i="6"/>
  <c r="M899" i="6"/>
  <c r="M900" i="6"/>
  <c r="M901" i="6"/>
  <c r="M902" i="6"/>
  <c r="M903" i="6"/>
  <c r="M904" i="6"/>
  <c r="M905" i="6"/>
  <c r="M906" i="6"/>
  <c r="M907" i="6"/>
  <c r="M908" i="6"/>
  <c r="M909" i="6"/>
  <c r="M910" i="6"/>
  <c r="M911" i="6"/>
  <c r="M912" i="6"/>
  <c r="M913" i="6"/>
  <c r="M914" i="6"/>
  <c r="M915" i="6"/>
  <c r="M916" i="6"/>
  <c r="M917" i="6"/>
  <c r="M918" i="6"/>
  <c r="M919" i="6"/>
  <c r="M920" i="6"/>
  <c r="M921" i="6"/>
  <c r="M922" i="6"/>
  <c r="M923" i="6"/>
  <c r="M924" i="6"/>
  <c r="M925" i="6"/>
  <c r="M926" i="6"/>
  <c r="M927" i="6"/>
  <c r="M928" i="6"/>
  <c r="M929" i="6"/>
  <c r="M930" i="6"/>
  <c r="M931" i="6"/>
  <c r="M932" i="6"/>
  <c r="M933" i="6"/>
  <c r="M934" i="6"/>
  <c r="M935" i="6"/>
  <c r="M936" i="6"/>
  <c r="M937" i="6"/>
  <c r="M938" i="6"/>
  <c r="M939" i="6"/>
  <c r="M940" i="6"/>
  <c r="M941" i="6"/>
  <c r="M942" i="6"/>
  <c r="M943" i="6"/>
  <c r="M944" i="6"/>
  <c r="M945" i="6"/>
  <c r="M946" i="6"/>
  <c r="M947" i="6"/>
  <c r="M948" i="6"/>
  <c r="M949" i="6"/>
  <c r="M950" i="6"/>
  <c r="M951" i="6"/>
  <c r="M952" i="6"/>
  <c r="M953" i="6"/>
  <c r="M954" i="6"/>
  <c r="M955" i="6"/>
  <c r="M956" i="6"/>
  <c r="M957" i="6"/>
  <c r="M958" i="6"/>
  <c r="M959" i="6"/>
  <c r="M960" i="6"/>
  <c r="M961" i="6"/>
  <c r="M962" i="6"/>
  <c r="M963" i="6"/>
  <c r="M964" i="6"/>
  <c r="M965" i="6"/>
  <c r="M966" i="6"/>
  <c r="M967" i="6"/>
  <c r="M968" i="6"/>
  <c r="M969" i="6"/>
  <c r="M970" i="6"/>
  <c r="M971" i="6"/>
  <c r="M972" i="6"/>
  <c r="M973" i="6"/>
  <c r="M974" i="6"/>
  <c r="M975" i="6"/>
  <c r="M976" i="6"/>
  <c r="M977" i="6"/>
  <c r="M978" i="6"/>
  <c r="M979" i="6"/>
  <c r="M980" i="6"/>
  <c r="M981" i="6"/>
  <c r="M982" i="6"/>
  <c r="M983" i="6"/>
  <c r="M984" i="6"/>
  <c r="M985" i="6"/>
  <c r="M986" i="6"/>
  <c r="M987" i="6"/>
  <c r="M988" i="6"/>
  <c r="M989" i="6"/>
  <c r="M990" i="6"/>
  <c r="M991" i="6"/>
  <c r="M992" i="6"/>
  <c r="M993" i="6"/>
  <c r="M994" i="6"/>
  <c r="M995" i="6"/>
  <c r="M996" i="6"/>
  <c r="M997" i="6"/>
  <c r="M998" i="6"/>
  <c r="M999" i="6"/>
  <c r="M1000" i="6"/>
  <c r="M1001" i="6"/>
  <c r="M1002" i="6"/>
  <c r="M1003" i="6"/>
  <c r="M1004" i="6"/>
  <c r="M1005" i="6"/>
  <c r="M1006" i="6"/>
  <c r="M1007" i="6"/>
  <c r="M1008" i="6"/>
  <c r="M1009" i="6"/>
  <c r="M1010" i="6"/>
  <c r="M1011" i="6"/>
  <c r="M1012" i="6"/>
  <c r="M1013" i="6"/>
  <c r="M1014" i="6"/>
  <c r="M1015" i="6"/>
  <c r="M1016" i="6"/>
  <c r="M1017" i="6"/>
  <c r="M1018" i="6"/>
  <c r="M1019" i="6"/>
  <c r="M1020" i="6"/>
  <c r="M1021" i="6"/>
  <c r="M1022" i="6"/>
  <c r="M1023" i="6"/>
  <c r="M1024" i="6"/>
  <c r="M1025" i="6"/>
  <c r="M1026" i="6"/>
  <c r="M1027" i="6"/>
  <c r="M1028" i="6"/>
  <c r="M1029" i="6"/>
  <c r="M1030" i="6"/>
  <c r="M1031" i="6"/>
  <c r="M1032" i="6"/>
  <c r="M1033" i="6"/>
  <c r="M1034" i="6"/>
  <c r="M1035" i="6"/>
  <c r="M1036" i="6"/>
  <c r="M1037" i="6"/>
  <c r="M1038" i="6"/>
  <c r="M1039" i="6"/>
  <c r="M1040" i="6"/>
  <c r="M1041" i="6"/>
  <c r="M1042" i="6"/>
  <c r="M1043" i="6"/>
  <c r="M1044" i="6"/>
  <c r="M1045" i="6"/>
  <c r="M1046" i="6"/>
  <c r="M1047" i="6"/>
  <c r="M1048" i="6"/>
  <c r="M1049" i="6"/>
  <c r="M1050" i="6"/>
  <c r="M1051" i="6"/>
  <c r="M1052" i="6"/>
  <c r="M1053" i="6"/>
  <c r="M1054" i="6"/>
  <c r="M1055" i="6"/>
  <c r="M1056" i="6"/>
  <c r="M1057" i="6"/>
  <c r="M1058" i="6"/>
  <c r="M1059" i="6"/>
  <c r="M1060" i="6"/>
  <c r="M1061" i="6"/>
  <c r="M1062" i="6"/>
  <c r="M1063" i="6"/>
  <c r="M1064" i="6"/>
  <c r="M1065" i="6"/>
  <c r="M1066" i="6"/>
  <c r="M1067" i="6"/>
  <c r="M1068" i="6"/>
  <c r="M1069" i="6"/>
  <c r="M1070" i="6"/>
  <c r="M1071" i="6"/>
  <c r="M1072" i="6"/>
  <c r="M1073" i="6"/>
  <c r="M1074" i="6"/>
  <c r="M1075" i="6"/>
  <c r="M1076" i="6"/>
  <c r="M1077" i="6"/>
  <c r="M1078" i="6"/>
  <c r="M1079" i="6"/>
  <c r="M1080" i="6"/>
  <c r="M1081" i="6"/>
  <c r="M1082" i="6"/>
  <c r="M1083" i="6"/>
  <c r="M1084" i="6"/>
  <c r="M1085" i="6"/>
  <c r="M1086" i="6"/>
  <c r="M1087" i="6"/>
  <c r="M1088" i="6"/>
  <c r="M1089" i="6"/>
  <c r="M1090" i="6"/>
  <c r="M1091" i="6"/>
  <c r="M1092" i="6"/>
  <c r="M1093" i="6"/>
  <c r="M1094" i="6"/>
  <c r="M1095" i="6"/>
  <c r="M1096" i="6"/>
  <c r="M1097" i="6"/>
  <c r="M1098" i="6"/>
  <c r="M1099" i="6"/>
  <c r="M1100" i="6"/>
  <c r="M1101" i="6"/>
  <c r="M1102" i="6"/>
  <c r="M1103" i="6"/>
  <c r="M1104" i="6"/>
  <c r="M1105" i="6"/>
  <c r="M1106" i="6"/>
  <c r="M1107" i="6"/>
  <c r="M1108" i="6"/>
  <c r="M1109" i="6"/>
  <c r="M1110" i="6"/>
  <c r="M1111" i="6"/>
  <c r="M1112" i="6"/>
  <c r="M1113" i="6"/>
  <c r="M1114" i="6"/>
  <c r="M1115" i="6"/>
  <c r="M1116" i="6"/>
  <c r="M1117" i="6"/>
  <c r="M1118" i="6"/>
  <c r="M1119" i="6"/>
  <c r="M1120" i="6"/>
  <c r="M1121" i="6"/>
  <c r="M1122" i="6"/>
  <c r="M1123" i="6"/>
  <c r="M1124" i="6"/>
  <c r="M1125" i="6"/>
  <c r="M1126" i="6"/>
  <c r="M1127" i="6"/>
  <c r="M1128" i="6"/>
  <c r="M1129" i="6"/>
  <c r="M1130" i="6"/>
  <c r="M1131" i="6"/>
  <c r="M1132" i="6"/>
  <c r="M1133" i="6"/>
  <c r="M1134" i="6"/>
  <c r="M1135" i="6"/>
  <c r="M1136" i="6"/>
  <c r="M1137" i="6"/>
  <c r="M1138" i="6"/>
  <c r="M1139" i="6"/>
  <c r="M1140" i="6"/>
  <c r="M1141" i="6"/>
  <c r="M1142" i="6"/>
  <c r="M1143" i="6"/>
  <c r="M1144" i="6"/>
  <c r="M1145" i="6"/>
  <c r="M1146" i="6"/>
  <c r="M1147" i="6"/>
  <c r="M1148" i="6"/>
  <c r="M1149" i="6"/>
  <c r="M1150" i="6"/>
  <c r="M1151" i="6"/>
  <c r="M1152" i="6"/>
  <c r="M1153" i="6"/>
  <c r="M1154" i="6"/>
  <c r="M1155" i="6"/>
  <c r="M1156" i="6"/>
  <c r="M1157" i="6"/>
  <c r="M1158" i="6"/>
  <c r="M1159" i="6"/>
  <c r="M1160" i="6"/>
  <c r="M1161" i="6"/>
  <c r="M1162" i="6"/>
  <c r="M1163" i="6"/>
  <c r="M1164" i="6"/>
  <c r="M1165" i="6"/>
  <c r="M1166" i="6"/>
  <c r="M1167" i="6"/>
  <c r="M1168" i="6"/>
  <c r="M1169" i="6"/>
  <c r="M1170" i="6"/>
  <c r="M1171" i="6"/>
  <c r="M1172" i="6"/>
  <c r="M1173" i="6"/>
  <c r="M1174" i="6"/>
  <c r="M1175" i="6"/>
  <c r="M1176" i="6"/>
  <c r="M1177" i="6"/>
  <c r="M1178" i="6"/>
  <c r="M1179" i="6"/>
  <c r="M1180" i="6"/>
  <c r="M1181" i="6"/>
  <c r="M1182" i="6"/>
  <c r="M1183" i="6"/>
  <c r="M1184" i="6"/>
  <c r="M1185" i="6"/>
  <c r="M1186" i="6"/>
  <c r="M1187" i="6"/>
  <c r="M1188" i="6"/>
  <c r="M1189" i="6"/>
  <c r="M1190" i="6"/>
  <c r="M1191" i="6"/>
  <c r="M1192" i="6"/>
  <c r="M1193" i="6"/>
  <c r="M1194" i="6"/>
  <c r="M1195" i="6"/>
  <c r="M1196" i="6"/>
  <c r="M1197" i="6"/>
  <c r="M1198" i="6"/>
  <c r="M1199" i="6"/>
  <c r="M1200" i="6"/>
  <c r="M1201" i="6"/>
  <c r="M1202" i="6"/>
  <c r="M1203" i="6"/>
  <c r="M1204" i="6"/>
  <c r="M1205" i="6"/>
  <c r="M1206" i="6"/>
  <c r="M1207" i="6"/>
  <c r="M1208" i="6"/>
  <c r="M1209" i="6"/>
  <c r="A4" i="5" a="1"/>
  <c r="A4" i="5" s="1"/>
  <c r="M2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<sst xmlns="http://schemas.openxmlformats.org/spreadsheetml/2006/main" count="6460" uniqueCount="1751">
  <si>
    <t>Collector</t>
  </si>
  <si>
    <t>Download Data:</t>
  </si>
  <si>
    <t>Deutschland</t>
  </si>
  <si>
    <t>Schweiz</t>
  </si>
  <si>
    <t xml:space="preserve">Österreich </t>
  </si>
  <si>
    <t>Filter Criteria:</t>
  </si>
  <si>
    <t>0002</t>
  </si>
  <si>
    <t>0023</t>
  </si>
  <si>
    <t>(blank)</t>
  </si>
  <si>
    <t>Company Code</t>
  </si>
  <si>
    <t>Business Partner</t>
  </si>
  <si>
    <t>BusinessPartner Name</t>
  </si>
  <si>
    <t>Document Number</t>
  </si>
  <si>
    <t>Ref. document number</t>
  </si>
  <si>
    <t>Document Date</t>
  </si>
  <si>
    <t>Net Due Date</t>
  </si>
  <si>
    <t>Days Past Due</t>
  </si>
  <si>
    <t>Document Amount</t>
  </si>
  <si>
    <t>Doc currency</t>
  </si>
  <si>
    <t>Text</t>
  </si>
  <si>
    <t>Disputes Exists</t>
  </si>
  <si>
    <t/>
  </si>
  <si>
    <t>EUR</t>
  </si>
  <si>
    <t>CHF</t>
  </si>
  <si>
    <t>X</t>
  </si>
  <si>
    <t>* Consulting to PO Number ; Order</t>
  </si>
  <si>
    <t>Overdue amt</t>
  </si>
  <si>
    <t>Sum of Overdue amt</t>
  </si>
  <si>
    <t>Sum of Document Amount</t>
  </si>
  <si>
    <t>I749026</t>
  </si>
  <si>
    <t>12294</t>
  </si>
  <si>
    <t>Lonza AG</t>
  </si>
  <si>
    <t>110100089086</t>
  </si>
  <si>
    <t>10002250000111</t>
  </si>
  <si>
    <t>14563</t>
  </si>
  <si>
    <t>Ivoclar Vivadent AG</t>
  </si>
  <si>
    <t>27271</t>
  </si>
  <si>
    <t>Jet Aviation Management AG</t>
  </si>
  <si>
    <t>110100089155</t>
  </si>
  <si>
    <t>10002250000180</t>
  </si>
  <si>
    <t>126649</t>
  </si>
  <si>
    <t>Insel Gruppe AG</t>
  </si>
  <si>
    <t>111000260886</t>
  </si>
  <si>
    <t>10002240023653</t>
  </si>
  <si>
    <t>* Consulting to PO Number 4500953823 ; Order 45059</t>
  </si>
  <si>
    <t>* Consulting to PO Number Sabine Herbel ; Order 45</t>
  </si>
  <si>
    <t>137586</t>
  </si>
  <si>
    <t>Triumph Intertrade AG</t>
  </si>
  <si>
    <t>192333</t>
  </si>
  <si>
    <t>Fenaco Genossenschaft</t>
  </si>
  <si>
    <t>110100089260</t>
  </si>
  <si>
    <t>10002250000285</t>
  </si>
  <si>
    <t>249621</t>
  </si>
  <si>
    <t>Kanton Aargau Vertreten durch</t>
  </si>
  <si>
    <t>110100089303</t>
  </si>
  <si>
    <t>10002250000328</t>
  </si>
  <si>
    <t>347244</t>
  </si>
  <si>
    <t>SR Technics Switzerland Ltd.</t>
  </si>
  <si>
    <t>110100083909</t>
  </si>
  <si>
    <t>10002240021874</t>
  </si>
  <si>
    <t>13/12 von knd im internen Klärung</t>
  </si>
  <si>
    <t>110100083910</t>
  </si>
  <si>
    <t>10002240021875</t>
  </si>
  <si>
    <t>110100083911</t>
  </si>
  <si>
    <t>10002240021876</t>
  </si>
  <si>
    <t>110100083912</t>
  </si>
  <si>
    <t>10002240021877</t>
  </si>
  <si>
    <t>520825</t>
  </si>
  <si>
    <t>Aveniq AG</t>
  </si>
  <si>
    <t>629141</t>
  </si>
  <si>
    <t>Lonza Group AG</t>
  </si>
  <si>
    <t>110200080315</t>
  </si>
  <si>
    <t>10002240023581</t>
  </si>
  <si>
    <t>0111383486_001_001/E71786046/0024405311</t>
  </si>
  <si>
    <t>110400093454</t>
  </si>
  <si>
    <t>10002240020487</t>
  </si>
  <si>
    <t>0111445451_001_001/E71784336/0024405311</t>
  </si>
  <si>
    <t>673914</t>
  </si>
  <si>
    <t>Octapharma AG</t>
  </si>
  <si>
    <t>697436</t>
  </si>
  <si>
    <t>neo technologies SA</t>
  </si>
  <si>
    <t>8002045836</t>
  </si>
  <si>
    <t>8002047356</t>
  </si>
  <si>
    <t>8002047357</t>
  </si>
  <si>
    <t>8006051312</t>
  </si>
  <si>
    <t>pay to 10002240001893,can 30002240000725,mail 4.11</t>
  </si>
  <si>
    <t>8007037274</t>
  </si>
  <si>
    <t>17/9 knw wurd gefrgt</t>
  </si>
  <si>
    <t>110000107184</t>
  </si>
  <si>
    <t>10002240023879</t>
  </si>
  <si>
    <t>110300037107</t>
  </si>
  <si>
    <t>10002230009519</t>
  </si>
  <si>
    <t>PDF copy sent to @ compta &amp; Christophe Coulant</t>
  </si>
  <si>
    <t>110500089648</t>
  </si>
  <si>
    <t>10002240024034</t>
  </si>
  <si>
    <t>111000245224</t>
  </si>
  <si>
    <t>10002240017171</t>
  </si>
  <si>
    <t>111000261432</t>
  </si>
  <si>
    <t>10002240023709</t>
  </si>
  <si>
    <t>723210</t>
  </si>
  <si>
    <t>Omya (Schweiz) AG</t>
  </si>
  <si>
    <t>110900081106</t>
  </si>
  <si>
    <t>10002250000957</t>
  </si>
  <si>
    <t>884415</t>
  </si>
  <si>
    <t>Kanton Aargau</t>
  </si>
  <si>
    <t>110500040963</t>
  </si>
  <si>
    <t>10002230016766</t>
  </si>
  <si>
    <t>@25.10.Statusanfrage an KD vers./SAPStore:95982714</t>
  </si>
  <si>
    <t>1319262</t>
  </si>
  <si>
    <t>ANG Schweiz AG</t>
  </si>
  <si>
    <t>110400075034</t>
  </si>
  <si>
    <t>10002240010349</t>
  </si>
  <si>
    <t>110500089709</t>
  </si>
  <si>
    <t>10002240024095</t>
  </si>
  <si>
    <t>110600093906</t>
  </si>
  <si>
    <t>10002250000979</t>
  </si>
  <si>
    <t>110900082022</t>
  </si>
  <si>
    <t>10002250000981</t>
  </si>
  <si>
    <t>0003</t>
  </si>
  <si>
    <t>648970</t>
  </si>
  <si>
    <t>ANG GmbH</t>
  </si>
  <si>
    <t>110100094342</t>
  </si>
  <si>
    <t>10003250000425</t>
  </si>
  <si>
    <t>110100094343</t>
  </si>
  <si>
    <t>10003250000426</t>
  </si>
  <si>
    <t>110100094344</t>
  </si>
  <si>
    <t>10003250000427</t>
  </si>
  <si>
    <t>110300084650</t>
  </si>
  <si>
    <t>10003250000337</t>
  </si>
  <si>
    <t>110500089833</t>
  </si>
  <si>
    <t>10003240015805</t>
  </si>
  <si>
    <t>110500089834</t>
  </si>
  <si>
    <t>10003240015806</t>
  </si>
  <si>
    <t>110500089835</t>
  </si>
  <si>
    <t>10003240015807</t>
  </si>
  <si>
    <t>110500089836</t>
  </si>
  <si>
    <t>10003240015808</t>
  </si>
  <si>
    <t>10107</t>
  </si>
  <si>
    <t>Beiersdorf Shared Services GmbH</t>
  </si>
  <si>
    <t>8007051315</t>
  </si>
  <si>
    <t>Restbetrag nach gutschft der rech 10023240103434</t>
  </si>
  <si>
    <t>8009051882</t>
  </si>
  <si>
    <t>Restbetrag nach gutschft der rech 10023240116458</t>
  </si>
  <si>
    <t>8009053921</t>
  </si>
  <si>
    <t>Restbetrag nach gutschft der rech 10023240128424</t>
  </si>
  <si>
    <t>8010142780</t>
  </si>
  <si>
    <t>Restbetrag nach gutschft der rech 10023230075337</t>
  </si>
  <si>
    <t>110000054783</t>
  </si>
  <si>
    <t>10023240020618</t>
  </si>
  <si>
    <t>27.08.24 Zahlungserinnerung intern an D. Kuehnert.</t>
  </si>
  <si>
    <t>110000105876</t>
  </si>
  <si>
    <t>10023240140413</t>
  </si>
  <si>
    <t>0111446532_001_001/E71804425/0025853759</t>
  </si>
  <si>
    <t>110000107322</t>
  </si>
  <si>
    <t>10023240141374</t>
  </si>
  <si>
    <t>110100084806</t>
  </si>
  <si>
    <t>10023240135716</t>
  </si>
  <si>
    <t>110100084807</t>
  </si>
  <si>
    <t>10023240135717</t>
  </si>
  <si>
    <t>110100084808</t>
  </si>
  <si>
    <t>10023240135718</t>
  </si>
  <si>
    <t>110100084809</t>
  </si>
  <si>
    <t>10023240135719</t>
  </si>
  <si>
    <t>110100090941</t>
  </si>
  <si>
    <t>10023250001539</t>
  </si>
  <si>
    <t>110100090942</t>
  </si>
  <si>
    <t>10023250001540</t>
  </si>
  <si>
    <t>110200079642</t>
  </si>
  <si>
    <t>10023240137597</t>
  </si>
  <si>
    <t>0111436330_001_001/E71764167/0001902096</t>
  </si>
  <si>
    <t>110200079643</t>
  </si>
  <si>
    <t>10023240137598</t>
  </si>
  <si>
    <t>0111436329_001_001/E71764167/0009113723</t>
  </si>
  <si>
    <t>110300083978</t>
  </si>
  <si>
    <t>10023250002440</t>
  </si>
  <si>
    <t>110400088110</t>
  </si>
  <si>
    <t>10023240128422</t>
  </si>
  <si>
    <t>110600059237</t>
  </si>
  <si>
    <t>20023240000840</t>
  </si>
  <si>
    <t>Korrektur Fur 10023230056880</t>
  </si>
  <si>
    <t>110800067210</t>
  </si>
  <si>
    <t>10023240018143</t>
  </si>
  <si>
    <t>110800105893</t>
  </si>
  <si>
    <t>10023250000020</t>
  </si>
  <si>
    <t>110900046708</t>
  </si>
  <si>
    <t>10023240001471</t>
  </si>
  <si>
    <t>110900069002</t>
  </si>
  <si>
    <t>10023240113285</t>
  </si>
  <si>
    <t>110900069008</t>
  </si>
  <si>
    <t>10023240113291</t>
  </si>
  <si>
    <t>110900078849</t>
  </si>
  <si>
    <t>10023240139776</t>
  </si>
  <si>
    <t>0111450758_001_001/E71771571/0026121751</t>
  </si>
  <si>
    <t>111000173731</t>
  </si>
  <si>
    <t>10023230143386</t>
  </si>
  <si>
    <t>111000183606</t>
  </si>
  <si>
    <t>10023240019540</t>
  </si>
  <si>
    <t>111000254037</t>
  </si>
  <si>
    <t>10023240131643</t>
  </si>
  <si>
    <t>111000257447</t>
  </si>
  <si>
    <t>10023240136302</t>
  </si>
  <si>
    <t>* Consulting to PO Number 4201198974 ; Order 45029</t>
  </si>
  <si>
    <t>111000261473</t>
  </si>
  <si>
    <t>20023240003832</t>
  </si>
  <si>
    <t>Korrektur Fur 10023240032724</t>
  </si>
  <si>
    <t>111000261474</t>
  </si>
  <si>
    <t>20023240003834</t>
  </si>
  <si>
    <t>111000261475</t>
  </si>
  <si>
    <t>10023240141287</t>
  </si>
  <si>
    <t>111000261477</t>
  </si>
  <si>
    <t>20023240003836</t>
  </si>
  <si>
    <t>Korrektur Fur 10023240036846</t>
  </si>
  <si>
    <t>111000261478</t>
  </si>
  <si>
    <t>20023240003837</t>
  </si>
  <si>
    <t>Korrektur Fur 10023240128423</t>
  </si>
  <si>
    <t>111000261510</t>
  </si>
  <si>
    <t>20023240003839</t>
  </si>
  <si>
    <t>Korrektur Fur 10023240071557</t>
  </si>
  <si>
    <t>111000262657</t>
  </si>
  <si>
    <t>10023240142987</t>
  </si>
  <si>
    <t>111000262852</t>
  </si>
  <si>
    <t>10023240143075</t>
  </si>
  <si>
    <t>* Consulting to PO Number 4201385661 ; Order</t>
  </si>
  <si>
    <t>111000263431</t>
  </si>
  <si>
    <t>20023250000098</t>
  </si>
  <si>
    <t>401000011822</t>
  </si>
  <si>
    <t>10176</t>
  </si>
  <si>
    <t>Schaeffler Technologies AG &amp; Co. KG</t>
  </si>
  <si>
    <t>8010155829</t>
  </si>
  <si>
    <t>Pmt for INV 10023240071901</t>
  </si>
  <si>
    <t>8010158880</t>
  </si>
  <si>
    <t>Zahlung zu?</t>
  </si>
  <si>
    <t>110000105971</t>
  </si>
  <si>
    <t>10023240140508</t>
  </si>
  <si>
    <t>0111455610_001_001/E71804425/0026664099</t>
  </si>
  <si>
    <t>110000108013</t>
  </si>
  <si>
    <t>10023250000148</t>
  </si>
  <si>
    <t>110000109014</t>
  </si>
  <si>
    <t>10023250004557</t>
  </si>
  <si>
    <t>110100091449</t>
  </si>
  <si>
    <t>10023250002047</t>
  </si>
  <si>
    <t>110100091450</t>
  </si>
  <si>
    <t>10023250002048</t>
  </si>
  <si>
    <t>110100091451</t>
  </si>
  <si>
    <t>10023250002049</t>
  </si>
  <si>
    <t>110200078058</t>
  </si>
  <si>
    <t>10023240134597</t>
  </si>
  <si>
    <t>110300083320</t>
  </si>
  <si>
    <t>10023240142859</t>
  </si>
  <si>
    <t>110300083321</t>
  </si>
  <si>
    <t>10023240142860</t>
  </si>
  <si>
    <t>110300083322</t>
  </si>
  <si>
    <t>10023240142861</t>
  </si>
  <si>
    <t>110300083324</t>
  </si>
  <si>
    <t>10023240142863</t>
  </si>
  <si>
    <t>110500091752</t>
  </si>
  <si>
    <t>10023240142994</t>
  </si>
  <si>
    <t>110700096074</t>
  </si>
  <si>
    <t>10023240142471</t>
  </si>
  <si>
    <t>111000111555</t>
  </si>
  <si>
    <t>20023230001431</t>
  </si>
  <si>
    <t>10.12.24 Info und Anfr. an glowimrl@schaeffler.com</t>
  </si>
  <si>
    <t>111000260540</t>
  </si>
  <si>
    <t>20023240003776</t>
  </si>
  <si>
    <t>111000260541</t>
  </si>
  <si>
    <t>20023240003777</t>
  </si>
  <si>
    <t>10423</t>
  </si>
  <si>
    <t>UNIORG Consulting GmbH</t>
  </si>
  <si>
    <t>8003051760</t>
  </si>
  <si>
    <t>8007048324</t>
  </si>
  <si>
    <t>8010139201</t>
  </si>
  <si>
    <t>02/09 @ Info zur Vrrch. folgt</t>
  </si>
  <si>
    <t>110000040060</t>
  </si>
  <si>
    <t>10023230094587</t>
  </si>
  <si>
    <t>110900038228</t>
  </si>
  <si>
    <t>10023230103361</t>
  </si>
  <si>
    <t>10529</t>
  </si>
  <si>
    <t>Groz-Beckert KG</t>
  </si>
  <si>
    <t>10813</t>
  </si>
  <si>
    <t>Fraport AG</t>
  </si>
  <si>
    <t>8010157683</t>
  </si>
  <si>
    <t>110100088056</t>
  </si>
  <si>
    <t>10023240142929</t>
  </si>
  <si>
    <t>* Consulting to PO Number ; Order 45060057</t>
  </si>
  <si>
    <t>110200051693</t>
  </si>
  <si>
    <t>10023240030135</t>
  </si>
  <si>
    <t>@Mail an Kunden 19.12.2024</t>
  </si>
  <si>
    <t>110400097041</t>
  </si>
  <si>
    <t>10023250004287</t>
  </si>
  <si>
    <t>110900060543</t>
  </si>
  <si>
    <t>10023240097148</t>
  </si>
  <si>
    <t>DC PO bei Spesen fehlt</t>
  </si>
  <si>
    <t>111000187772</t>
  </si>
  <si>
    <t>10023240023706</t>
  </si>
  <si>
    <t>@resent 10.12.2024 PO4500568882</t>
  </si>
  <si>
    <t>11534</t>
  </si>
  <si>
    <t>Fresenius SE &amp; Co. KGaA</t>
  </si>
  <si>
    <t>110000064107</t>
  </si>
  <si>
    <t>10023240042176</t>
  </si>
  <si>
    <t>@Telco mit Kunde und Laura</t>
  </si>
  <si>
    <t>110100062227</t>
  </si>
  <si>
    <t>10023240031132</t>
  </si>
  <si>
    <t>110400076594</t>
  </si>
  <si>
    <t>20023240001820</t>
  </si>
  <si>
    <t>*Referenzkundenaktivität am 10.05.2024</t>
  </si>
  <si>
    <t>11660</t>
  </si>
  <si>
    <t>Arvato Systems GmbH</t>
  </si>
  <si>
    <t>111000248882</t>
  </si>
  <si>
    <t>10023240120369</t>
  </si>
  <si>
    <t>*Partner package NETWORKING</t>
  </si>
  <si>
    <t>14592</t>
  </si>
  <si>
    <t>ebm-papst Mulfingen GmbH &amp; Co. KG</t>
  </si>
  <si>
    <t>28133</t>
  </si>
  <si>
    <t>Bertelsmann SE &amp; Co. KGaA</t>
  </si>
  <si>
    <t>110500066400</t>
  </si>
  <si>
    <t>10023240022259</t>
  </si>
  <si>
    <t>03.04.2024 Info an AP.BEAS.DE@bertelsmann.de.</t>
  </si>
  <si>
    <t>30660</t>
  </si>
  <si>
    <t>Fresenius Medical Care Deutschland GmbH</t>
  </si>
  <si>
    <t>990100011786</t>
  </si>
  <si>
    <t>21964784</t>
  </si>
  <si>
    <t>19.09.2024 Jacob Gutschrift verschickt</t>
  </si>
  <si>
    <t>31745</t>
  </si>
  <si>
    <t>Arvato Systems Digital GmbH</t>
  </si>
  <si>
    <t>8005044980</t>
  </si>
  <si>
    <t>34928</t>
  </si>
  <si>
    <t>Drägerwerk AG &amp; Co. KGaA</t>
  </si>
  <si>
    <t>110100084819</t>
  </si>
  <si>
    <t>10023240135729</t>
  </si>
  <si>
    <t>37743</t>
  </si>
  <si>
    <t>Charité - Universitätsmedizin Berlin</t>
  </si>
  <si>
    <t>8003040388</t>
  </si>
  <si>
    <t>8006013287</t>
  </si>
  <si>
    <t>CN 30023220000487/Erkl.an Kd. 23-10</t>
  </si>
  <si>
    <t>291210</t>
  </si>
  <si>
    <t>8009050327</t>
  </si>
  <si>
    <t>8010151488</t>
  </si>
  <si>
    <t>Pmt for INV 10023240108167 clrd 8009050327</t>
  </si>
  <si>
    <t>110800107430</t>
  </si>
  <si>
    <t>10023250005600</t>
  </si>
  <si>
    <t>110800107431</t>
  </si>
  <si>
    <t>10023250005601</t>
  </si>
  <si>
    <t>110800107432</t>
  </si>
  <si>
    <t>10023250005602</t>
  </si>
  <si>
    <t>110800107433</t>
  </si>
  <si>
    <t>10023250005603</t>
  </si>
  <si>
    <t>110800107436</t>
  </si>
  <si>
    <t>10023250005606</t>
  </si>
  <si>
    <t>110800107443</t>
  </si>
  <si>
    <t>10023250005613</t>
  </si>
  <si>
    <t>110800107446</t>
  </si>
  <si>
    <t>10023250005616</t>
  </si>
  <si>
    <t>110800107447</t>
  </si>
  <si>
    <t>10023250005617</t>
  </si>
  <si>
    <t>110800107448</t>
  </si>
  <si>
    <t>10023250005618</t>
  </si>
  <si>
    <t>110800107450</t>
  </si>
  <si>
    <t>10023250005620</t>
  </si>
  <si>
    <t>110800107454</t>
  </si>
  <si>
    <t>10023250005624</t>
  </si>
  <si>
    <t>110800107457</t>
  </si>
  <si>
    <t>10023250005627</t>
  </si>
  <si>
    <t>110800107459</t>
  </si>
  <si>
    <t>10023250005629</t>
  </si>
  <si>
    <t>110800107464</t>
  </si>
  <si>
    <t>10023250005634</t>
  </si>
  <si>
    <t>110800107465</t>
  </si>
  <si>
    <t>10023250005635</t>
  </si>
  <si>
    <t>110800107466</t>
  </si>
  <si>
    <t>10023250005636</t>
  </si>
  <si>
    <t>110800107467</t>
  </si>
  <si>
    <t>10023250005637</t>
  </si>
  <si>
    <t>110800107469</t>
  </si>
  <si>
    <t>10023250005639</t>
  </si>
  <si>
    <t>110800107470</t>
  </si>
  <si>
    <t>10023250005640</t>
  </si>
  <si>
    <t>110800107476</t>
  </si>
  <si>
    <t>10023250005646</t>
  </si>
  <si>
    <t>110800107479</t>
  </si>
  <si>
    <t>10023250005649</t>
  </si>
  <si>
    <t>110800107480</t>
  </si>
  <si>
    <t>10023250005650</t>
  </si>
  <si>
    <t>110800107483</t>
  </si>
  <si>
    <t>10023250005653</t>
  </si>
  <si>
    <t>110800107484</t>
  </si>
  <si>
    <t>10023250005654</t>
  </si>
  <si>
    <t>110800107485</t>
  </si>
  <si>
    <t>10023250005655</t>
  </si>
  <si>
    <t>110800107486</t>
  </si>
  <si>
    <t>10023250005656</t>
  </si>
  <si>
    <t>110800107487</t>
  </si>
  <si>
    <t>10023250005657</t>
  </si>
  <si>
    <t>110800107488</t>
  </si>
  <si>
    <t>10023250005658</t>
  </si>
  <si>
    <t>110900060521</t>
  </si>
  <si>
    <t>10023240097125</t>
  </si>
  <si>
    <t>* Consulting to PO Number ; Order 45063619</t>
  </si>
  <si>
    <t>110900078764</t>
  </si>
  <si>
    <t>10023240139691</t>
  </si>
  <si>
    <t>111000246401</t>
  </si>
  <si>
    <t>10023240107254</t>
  </si>
  <si>
    <t>*Lea Horn</t>
  </si>
  <si>
    <t>111000246926</t>
  </si>
  <si>
    <t>10023240117956</t>
  </si>
  <si>
    <t>*Carsten Reichert</t>
  </si>
  <si>
    <t>111000265388</t>
  </si>
  <si>
    <t>10023250004994</t>
  </si>
  <si>
    <t>299765</t>
  </si>
  <si>
    <t>TÜV SÜD AG</t>
  </si>
  <si>
    <t>372849</t>
  </si>
  <si>
    <t>EVH GmbH</t>
  </si>
  <si>
    <t>110100090719</t>
  </si>
  <si>
    <t>10023250001317</t>
  </si>
  <si>
    <t>110200082254</t>
  </si>
  <si>
    <t>20023250000048</t>
  </si>
  <si>
    <t>110200082255</t>
  </si>
  <si>
    <t>20023250000049</t>
  </si>
  <si>
    <t>110200082256</t>
  </si>
  <si>
    <t>20023250000050</t>
  </si>
  <si>
    <t>110800108580</t>
  </si>
  <si>
    <t>10023250006750</t>
  </si>
  <si>
    <t>110800108581</t>
  </si>
  <si>
    <t>10023250006751</t>
  </si>
  <si>
    <t>110800108582</t>
  </si>
  <si>
    <t>10023250006752</t>
  </si>
  <si>
    <t>401131</t>
  </si>
  <si>
    <t>AOK Systems GmbH</t>
  </si>
  <si>
    <t>* Consulting to PO Number ; Order 45064458</t>
  </si>
  <si>
    <t>111000265729</t>
  </si>
  <si>
    <t>10023250005256</t>
  </si>
  <si>
    <t>* Consulting to PO Number 36887 ; Order</t>
  </si>
  <si>
    <t>487331</t>
  </si>
  <si>
    <t>TÜV Rheinland Service GmbH</t>
  </si>
  <si>
    <t>492922</t>
  </si>
  <si>
    <t>110800109365</t>
  </si>
  <si>
    <t>10023250007535</t>
  </si>
  <si>
    <t>110800109366</t>
  </si>
  <si>
    <t>10023250007536</t>
  </si>
  <si>
    <t>529689</t>
  </si>
  <si>
    <t>Fresenius Digital Technology GmbH</t>
  </si>
  <si>
    <t>658609</t>
  </si>
  <si>
    <t>UNIORG Services GmbH</t>
  </si>
  <si>
    <t>110100094352</t>
  </si>
  <si>
    <t>10023250005325</t>
  </si>
  <si>
    <t>110100094560</t>
  </si>
  <si>
    <t>10023250005356</t>
  </si>
  <si>
    <t>110800107756</t>
  </si>
  <si>
    <t>10023250005926</t>
  </si>
  <si>
    <t>110800107757</t>
  </si>
  <si>
    <t>10023250005927</t>
  </si>
  <si>
    <t>110800107758</t>
  </si>
  <si>
    <t>10023250005928</t>
  </si>
  <si>
    <t>110800107759</t>
  </si>
  <si>
    <t>10023250005929</t>
  </si>
  <si>
    <t>110800107760</t>
  </si>
  <si>
    <t>10023250005930</t>
  </si>
  <si>
    <t>111000266173</t>
  </si>
  <si>
    <t>10023250008172</t>
  </si>
  <si>
    <t>898572</t>
  </si>
  <si>
    <t>Pilkington Holding GmbH</t>
  </si>
  <si>
    <t>960293</t>
  </si>
  <si>
    <t>CITTI Handelsgesellschaft mbH &amp; Co.KG</t>
  </si>
  <si>
    <t>* Consulting to PO Number ; Order 45063699</t>
  </si>
  <si>
    <t>1227311</t>
  </si>
  <si>
    <t>Dürr Group Services GmbH</t>
  </si>
  <si>
    <t>8001050175</t>
  </si>
  <si>
    <t>8003050774</t>
  </si>
  <si>
    <t>110200061339</t>
  </si>
  <si>
    <t>10023240065519</t>
  </si>
  <si>
    <t>22/8 disp, Ubernutzung mit O2I klären</t>
  </si>
  <si>
    <t>110400093559</t>
  </si>
  <si>
    <t>10023240132610</t>
  </si>
  <si>
    <t>0111406440_001_001/E71771718/0024516438</t>
  </si>
  <si>
    <t>110500089952</t>
  </si>
  <si>
    <t>10023240141642</t>
  </si>
  <si>
    <t>111000238225</t>
  </si>
  <si>
    <t>10023240097174</t>
  </si>
  <si>
    <t>P2P erhalten 19112024 Zahlung am 28112024</t>
  </si>
  <si>
    <t>111000242341</t>
  </si>
  <si>
    <t>10023240102263</t>
  </si>
  <si>
    <t>111000244449</t>
  </si>
  <si>
    <t>10023240104794</t>
  </si>
  <si>
    <t>111000262651</t>
  </si>
  <si>
    <t>10023240142883</t>
  </si>
  <si>
    <t>* Consulting to PO Number Z22/4501317211 ; Order</t>
  </si>
  <si>
    <t>111000262652</t>
  </si>
  <si>
    <t>10023240142937</t>
  </si>
  <si>
    <t>111000262653</t>
  </si>
  <si>
    <t>10023240142975</t>
  </si>
  <si>
    <t>111000262655</t>
  </si>
  <si>
    <t>10023240142979</t>
  </si>
  <si>
    <t>* Consulting to PO Number Z12/4501279380 ; Order 4</t>
  </si>
  <si>
    <t>111000262656</t>
  </si>
  <si>
    <t>10023240142981</t>
  </si>
  <si>
    <t>111000262658</t>
  </si>
  <si>
    <t>10023240142988</t>
  </si>
  <si>
    <t>* Consulting to PO Number Z12/4501296832 ; Order</t>
  </si>
  <si>
    <t>1380699</t>
  </si>
  <si>
    <t>Fresenius Medical Care AG</t>
  </si>
  <si>
    <t>8000048506</t>
  </si>
  <si>
    <t>1804145</t>
  </si>
  <si>
    <t>FLENDER GmbH</t>
  </si>
  <si>
    <t>110800108018</t>
  </si>
  <si>
    <t>10023250006188</t>
  </si>
  <si>
    <t>110800108019</t>
  </si>
  <si>
    <t>10023250006189</t>
  </si>
  <si>
    <t>1809819</t>
  </si>
  <si>
    <t>110100090713</t>
  </si>
  <si>
    <t>10023250001311</t>
  </si>
  <si>
    <t>110400076576</t>
  </si>
  <si>
    <t>20023240001812</t>
  </si>
  <si>
    <t>*Referenzkundenaktivität am 29.05.2024</t>
  </si>
  <si>
    <t>110900072722</t>
  </si>
  <si>
    <t>10023240120953</t>
  </si>
  <si>
    <t>0111408560_001_001/E71759556/0026541006</t>
  </si>
  <si>
    <t>111000264676</t>
  </si>
  <si>
    <t>10023250004254</t>
  </si>
  <si>
    <t>0111440952_001_001/E71865425/0026619750</t>
  </si>
  <si>
    <t>2062403</t>
  </si>
  <si>
    <t>Arvato SE</t>
  </si>
  <si>
    <t>110100082745</t>
  </si>
  <si>
    <t>10023240132372</t>
  </si>
  <si>
    <t>0111443184_001_001/E71764267/0026626420</t>
  </si>
  <si>
    <t>110100082746</t>
  </si>
  <si>
    <t>10023240132373</t>
  </si>
  <si>
    <t>0111443185_001_001/E71764267/0026626430</t>
  </si>
  <si>
    <t>2138549</t>
  </si>
  <si>
    <t>EFA Autoteilewelt GmbH</t>
  </si>
  <si>
    <t>2460415</t>
  </si>
  <si>
    <t>METRO Digital GmbH</t>
  </si>
  <si>
    <t>8004029513</t>
  </si>
  <si>
    <t>110500088071</t>
  </si>
  <si>
    <t>10023240138946</t>
  </si>
  <si>
    <t>110700018647</t>
  </si>
  <si>
    <t>10023220035469</t>
  </si>
  <si>
    <t>18.10.24 Ablehnung erneut verschickt.</t>
  </si>
  <si>
    <t>111000213799</t>
  </si>
  <si>
    <t>10023240056467</t>
  </si>
  <si>
    <t>18.10.24 RG wäre falsch. Roman Brückner fragen</t>
  </si>
  <si>
    <t>111000259828</t>
  </si>
  <si>
    <t>10023240139842</t>
  </si>
  <si>
    <t>401200008049</t>
  </si>
  <si>
    <t>2684112</t>
  </si>
  <si>
    <t>Charité Universitätsmedizin Berlin</t>
  </si>
  <si>
    <t>110000054492</t>
  </si>
  <si>
    <t>10023240020327</t>
  </si>
  <si>
    <t>110300081964</t>
  </si>
  <si>
    <t>10023240136298</t>
  </si>
  <si>
    <t>155697</t>
  </si>
  <si>
    <t>110200086602</t>
  </si>
  <si>
    <t>10002250001379</t>
  </si>
  <si>
    <t>110200086624</t>
  </si>
  <si>
    <t>10002250001401</t>
  </si>
  <si>
    <t>110200086625</t>
  </si>
  <si>
    <t>10002250001402</t>
  </si>
  <si>
    <t>110200086626</t>
  </si>
  <si>
    <t>10002250001403</t>
  </si>
  <si>
    <t>110200086706</t>
  </si>
  <si>
    <t>10002250001483</t>
  </si>
  <si>
    <t>110200086707</t>
  </si>
  <si>
    <t>10002250001484</t>
  </si>
  <si>
    <t>110200086727</t>
  </si>
  <si>
    <t>10002250001504</t>
  </si>
  <si>
    <t>110200086743</t>
  </si>
  <si>
    <t>10002250001520</t>
  </si>
  <si>
    <t>110200086748</t>
  </si>
  <si>
    <t>10002250001525</t>
  </si>
  <si>
    <t>110200086757</t>
  </si>
  <si>
    <t>10002250001534</t>
  </si>
  <si>
    <t>110200086763</t>
  </si>
  <si>
    <t>10002250001540</t>
  </si>
  <si>
    <t>110200086766</t>
  </si>
  <si>
    <t>10002250001543</t>
  </si>
  <si>
    <t>110200086769</t>
  </si>
  <si>
    <t>10002250001546</t>
  </si>
  <si>
    <t>110200086794</t>
  </si>
  <si>
    <t>10002250001571</t>
  </si>
  <si>
    <t>110200086797</t>
  </si>
  <si>
    <t>10002250001574</t>
  </si>
  <si>
    <t>110200086801</t>
  </si>
  <si>
    <t>10002250001578</t>
  </si>
  <si>
    <t>110200086804</t>
  </si>
  <si>
    <t>10002250001581</t>
  </si>
  <si>
    <t>110200086805</t>
  </si>
  <si>
    <t>10002250001582</t>
  </si>
  <si>
    <t>110200086806</t>
  </si>
  <si>
    <t>10002250001583</t>
  </si>
  <si>
    <t>110200086808</t>
  </si>
  <si>
    <t>10002250001585</t>
  </si>
  <si>
    <t>110200086809</t>
  </si>
  <si>
    <t>10002250001586</t>
  </si>
  <si>
    <t>110200086810</t>
  </si>
  <si>
    <t>10002250001587</t>
  </si>
  <si>
    <t>110200086811</t>
  </si>
  <si>
    <t>10002250001588</t>
  </si>
  <si>
    <t>110200086812</t>
  </si>
  <si>
    <t>10002250001589</t>
  </si>
  <si>
    <t>110200086813</t>
  </si>
  <si>
    <t>10002250001590</t>
  </si>
  <si>
    <t>110200086814</t>
  </si>
  <si>
    <t>10002250001591</t>
  </si>
  <si>
    <t>110200086816</t>
  </si>
  <si>
    <t>10002250001593</t>
  </si>
  <si>
    <t>110200086817</t>
  </si>
  <si>
    <t>10002250001594</t>
  </si>
  <si>
    <t>110200086818</t>
  </si>
  <si>
    <t>10002250001595</t>
  </si>
  <si>
    <t>110200086819</t>
  </si>
  <si>
    <t>10002250001596</t>
  </si>
  <si>
    <t>110200086820</t>
  </si>
  <si>
    <t>10002250001597</t>
  </si>
  <si>
    <t>110200086822</t>
  </si>
  <si>
    <t>10002250001599</t>
  </si>
  <si>
    <t>110200086823</t>
  </si>
  <si>
    <t>10002250001600</t>
  </si>
  <si>
    <t>110200086825</t>
  </si>
  <si>
    <t>10002250001602</t>
  </si>
  <si>
    <t>110200086826</t>
  </si>
  <si>
    <t>10002250001603</t>
  </si>
  <si>
    <t>110200086827</t>
  </si>
  <si>
    <t>10002250001604</t>
  </si>
  <si>
    <t>110200086828</t>
  </si>
  <si>
    <t>10002250001605</t>
  </si>
  <si>
    <t>110200086829</t>
  </si>
  <si>
    <t>10002250001606</t>
  </si>
  <si>
    <t>110200086830</t>
  </si>
  <si>
    <t>10002250001607</t>
  </si>
  <si>
    <t>110200086831</t>
  </si>
  <si>
    <t>10002250001608</t>
  </si>
  <si>
    <t>110200086832</t>
  </si>
  <si>
    <t>10002250001609</t>
  </si>
  <si>
    <t>110200086833</t>
  </si>
  <si>
    <t>10002250001610</t>
  </si>
  <si>
    <t>110200086834</t>
  </si>
  <si>
    <t>10002250001611</t>
  </si>
  <si>
    <t>110200086835</t>
  </si>
  <si>
    <t>10002250001612</t>
  </si>
  <si>
    <t>110200087219</t>
  </si>
  <si>
    <t>10023250011900</t>
  </si>
  <si>
    <t>144690</t>
  </si>
  <si>
    <t>Sto SE &amp; Co. KGaA</t>
  </si>
  <si>
    <t>111000266505</t>
  </si>
  <si>
    <t>10023250011605</t>
  </si>
  <si>
    <t>0111487267_001_001/E71877685/0026747449</t>
  </si>
  <si>
    <t>110200084941</t>
  </si>
  <si>
    <t>10023250010360</t>
  </si>
  <si>
    <t>110200084942</t>
  </si>
  <si>
    <t>10023250010361</t>
  </si>
  <si>
    <t>110200084603</t>
  </si>
  <si>
    <t>10023250010022</t>
  </si>
  <si>
    <t>110200084604</t>
  </si>
  <si>
    <t>10023250010023</t>
  </si>
  <si>
    <t>110200084605</t>
  </si>
  <si>
    <t>10023250010024</t>
  </si>
  <si>
    <t>110400097528</t>
  </si>
  <si>
    <t>10023250009552</t>
  </si>
  <si>
    <t>110700098375</t>
  </si>
  <si>
    <t>10023250008229</t>
  </si>
  <si>
    <t>111000266364</t>
  </si>
  <si>
    <t>10023250009600</t>
  </si>
  <si>
    <t>111000266365</t>
  </si>
  <si>
    <t>10023250009601</t>
  </si>
  <si>
    <t>110200087231</t>
  </si>
  <si>
    <t>10023250011912</t>
  </si>
  <si>
    <t>10028</t>
  </si>
  <si>
    <t>Georg Fischer AG</t>
  </si>
  <si>
    <t>110100098943</t>
  </si>
  <si>
    <t>10002250002727</t>
  </si>
  <si>
    <t>110100098944</t>
  </si>
  <si>
    <t>10002250002728</t>
  </si>
  <si>
    <t>110700100782</t>
  </si>
  <si>
    <t>10002250002332</t>
  </si>
  <si>
    <t>110900091978</t>
  </si>
  <si>
    <t>10002250003310</t>
  </si>
  <si>
    <t>110900092506</t>
  </si>
  <si>
    <t>20002250000157</t>
  </si>
  <si>
    <t>110300089404</t>
  </si>
  <si>
    <t>10002250002905</t>
  </si>
  <si>
    <t>110300089405</t>
  </si>
  <si>
    <t>10002250002906</t>
  </si>
  <si>
    <t>110600097015</t>
  </si>
  <si>
    <t>10002250003221</t>
  </si>
  <si>
    <t>110600097016</t>
  </si>
  <si>
    <t>10002250003222</t>
  </si>
  <si>
    <t>110700100787</t>
  </si>
  <si>
    <t>10002250002337</t>
  </si>
  <si>
    <t>PO angefragt 20.2.</t>
  </si>
  <si>
    <t>110700104515</t>
  </si>
  <si>
    <t>10002250002967</t>
  </si>
  <si>
    <t>110900089195</t>
  </si>
  <si>
    <t>10002250002630</t>
  </si>
  <si>
    <t>110100098963</t>
  </si>
  <si>
    <t>10002250002747</t>
  </si>
  <si>
    <t>110100098964</t>
  </si>
  <si>
    <t>10002250002748</t>
  </si>
  <si>
    <t>111000270379</t>
  </si>
  <si>
    <t>20002250000128</t>
  </si>
  <si>
    <t>111000270769</t>
  </si>
  <si>
    <t>10002250003094</t>
  </si>
  <si>
    <t>110800111424</t>
  </si>
  <si>
    <t>10002250002527</t>
  </si>
  <si>
    <t>110700100804</t>
  </si>
  <si>
    <t>10002250002354</t>
  </si>
  <si>
    <t>111000270132</t>
  </si>
  <si>
    <t>10002250003001</t>
  </si>
  <si>
    <t>110900082975</t>
  </si>
  <si>
    <t>10002250002140</t>
  </si>
  <si>
    <t>111000268534</t>
  </si>
  <si>
    <t>10002250002290</t>
  </si>
  <si>
    <t>110900082976</t>
  </si>
  <si>
    <t>10002250002141</t>
  </si>
  <si>
    <t>110900089197</t>
  </si>
  <si>
    <t>10002250002632</t>
  </si>
  <si>
    <t>110900089198</t>
  </si>
  <si>
    <t>10002250002633</t>
  </si>
  <si>
    <t>under clarification - purchasing dep, remind 13.2.</t>
  </si>
  <si>
    <t>500709</t>
  </si>
  <si>
    <t>Aveniq Avectris AG</t>
  </si>
  <si>
    <t>110100099037</t>
  </si>
  <si>
    <t>10002250002821</t>
  </si>
  <si>
    <t>110100099038</t>
  </si>
  <si>
    <t>10002250002822</t>
  </si>
  <si>
    <t>8007057027</t>
  </si>
  <si>
    <t>110100099042</t>
  </si>
  <si>
    <t>10002250002826</t>
  </si>
  <si>
    <t>110100099043</t>
  </si>
  <si>
    <t>10002250002827</t>
  </si>
  <si>
    <t>110100099044</t>
  </si>
  <si>
    <t>10002250002828</t>
  </si>
  <si>
    <t>110600097028</t>
  </si>
  <si>
    <t>10002250003234</t>
  </si>
  <si>
    <t>0111492370_001_001/E71855778/0025805569</t>
  </si>
  <si>
    <t>110800110984</t>
  </si>
  <si>
    <t>10002250002475</t>
  </si>
  <si>
    <t>110900089215</t>
  </si>
  <si>
    <t>10002250002650</t>
  </si>
  <si>
    <t>111000268914</t>
  </si>
  <si>
    <t>10002250002484</t>
  </si>
  <si>
    <t>*Integration Modernization Summit</t>
  </si>
  <si>
    <t>111000268915</t>
  </si>
  <si>
    <t>10002250002486</t>
  </si>
  <si>
    <t>111000271337</t>
  </si>
  <si>
    <t>10002250003284</t>
  </si>
  <si>
    <t>110100099050</t>
  </si>
  <si>
    <t>10002250002834</t>
  </si>
  <si>
    <t>110700100854</t>
  </si>
  <si>
    <t>10002250002404</t>
  </si>
  <si>
    <t>8001054904</t>
  </si>
  <si>
    <t>110100095187</t>
  </si>
  <si>
    <t>10002250002057</t>
  </si>
  <si>
    <t>110300089429</t>
  </si>
  <si>
    <t>10002250002930</t>
  </si>
  <si>
    <t>110500096788</t>
  </si>
  <si>
    <t>10002250003290</t>
  </si>
  <si>
    <t>110600096080</t>
  </si>
  <si>
    <t>10002250003007</t>
  </si>
  <si>
    <t>110700104469</t>
  </si>
  <si>
    <t>10002250003006</t>
  </si>
  <si>
    <t>110900089216</t>
  </si>
  <si>
    <t>10002250002651</t>
  </si>
  <si>
    <t>110900089217</t>
  </si>
  <si>
    <t>10002250002652</t>
  </si>
  <si>
    <t>110900089218</t>
  </si>
  <si>
    <t>10002250002653</t>
  </si>
  <si>
    <t>110900089219</t>
  </si>
  <si>
    <t>10002250002654</t>
  </si>
  <si>
    <t>110900089220</t>
  </si>
  <si>
    <t>10002250002655</t>
  </si>
  <si>
    <t>110900089221</t>
  </si>
  <si>
    <t>10002250002656</t>
  </si>
  <si>
    <t>110900089222</t>
  </si>
  <si>
    <t>10002250002657</t>
  </si>
  <si>
    <t>110900089223</t>
  </si>
  <si>
    <t>10002250002658</t>
  </si>
  <si>
    <t>110900089224</t>
  </si>
  <si>
    <t>10002250002659</t>
  </si>
  <si>
    <t>111000269947</t>
  </si>
  <si>
    <t>10002250002888</t>
  </si>
  <si>
    <t>*SAP Business AI Workshop, Zurich</t>
  </si>
  <si>
    <t>P2P erhalten 06.03.2025 Zahlung am 17.03.2025</t>
  </si>
  <si>
    <t>737057</t>
  </si>
  <si>
    <t>Novelis AG</t>
  </si>
  <si>
    <t>110000110165</t>
  </si>
  <si>
    <t>10002250001818</t>
  </si>
  <si>
    <t>110000111214</t>
  </si>
  <si>
    <t>10002250002069</t>
  </si>
  <si>
    <t>110100099070</t>
  </si>
  <si>
    <t>10002250002854</t>
  </si>
  <si>
    <t>110200088989</t>
  </si>
  <si>
    <t>10002250002892</t>
  </si>
  <si>
    <t>110700100892</t>
  </si>
  <si>
    <t>10002250002442</t>
  </si>
  <si>
    <t>110900090684</t>
  </si>
  <si>
    <t>10002250002689</t>
  </si>
  <si>
    <t>111000268912</t>
  </si>
  <si>
    <t>10002250002481</t>
  </si>
  <si>
    <t>*Customer Success Story Füllemann</t>
  </si>
  <si>
    <t>110000110370</t>
  </si>
  <si>
    <t>10003250000561</t>
  </si>
  <si>
    <t>110100095201</t>
  </si>
  <si>
    <t>10003250000564</t>
  </si>
  <si>
    <t>110100100117</t>
  </si>
  <si>
    <t>10003250002827</t>
  </si>
  <si>
    <t>110200087675</t>
  </si>
  <si>
    <t>10003250000568</t>
  </si>
  <si>
    <t>110400099143</t>
  </si>
  <si>
    <t>10003250002825</t>
  </si>
  <si>
    <t>110500094401</t>
  </si>
  <si>
    <t>10003250000569</t>
  </si>
  <si>
    <t>110500095806</t>
  </si>
  <si>
    <t>10003250002637</t>
  </si>
  <si>
    <t>110500096797</t>
  </si>
  <si>
    <t>10003250002816</t>
  </si>
  <si>
    <t>110500096798</t>
  </si>
  <si>
    <t>10003250002817</t>
  </si>
  <si>
    <t>110500096799</t>
  </si>
  <si>
    <t>10003250002818</t>
  </si>
  <si>
    <t>110500096991</t>
  </si>
  <si>
    <t>10003250002826</t>
  </si>
  <si>
    <t>110600096898</t>
  </si>
  <si>
    <t>10003250002824</t>
  </si>
  <si>
    <t>110700102046</t>
  </si>
  <si>
    <t>10003250001940</t>
  </si>
  <si>
    <t>110700102047</t>
  </si>
  <si>
    <t>10003250001941</t>
  </si>
  <si>
    <t>110700102048</t>
  </si>
  <si>
    <t>10003250001942</t>
  </si>
  <si>
    <t>110700102049</t>
  </si>
  <si>
    <t>10003250001943</t>
  </si>
  <si>
    <t>110700102050</t>
  </si>
  <si>
    <t>10003250001944</t>
  </si>
  <si>
    <t>110700102051</t>
  </si>
  <si>
    <t>10003250001945</t>
  </si>
  <si>
    <t>110700102052</t>
  </si>
  <si>
    <t>10003250001946</t>
  </si>
  <si>
    <t>110700102053</t>
  </si>
  <si>
    <t>10003250001947</t>
  </si>
  <si>
    <t>110700102054</t>
  </si>
  <si>
    <t>10003250001948</t>
  </si>
  <si>
    <t>110700102055</t>
  </si>
  <si>
    <t>10003250001949</t>
  </si>
  <si>
    <t>110700102056</t>
  </si>
  <si>
    <t>10003250001950</t>
  </si>
  <si>
    <t>110700102057</t>
  </si>
  <si>
    <t>10003250001951</t>
  </si>
  <si>
    <t>110700102058</t>
  </si>
  <si>
    <t>10003250001952</t>
  </si>
  <si>
    <t>110700102059</t>
  </si>
  <si>
    <t>10003250001953</t>
  </si>
  <si>
    <t>110700102060</t>
  </si>
  <si>
    <t>10003250001954</t>
  </si>
  <si>
    <t>110700102061</t>
  </si>
  <si>
    <t>10003250001955</t>
  </si>
  <si>
    <t>110700102062</t>
  </si>
  <si>
    <t>10003250001956</t>
  </si>
  <si>
    <t>110700102063</t>
  </si>
  <si>
    <t>10003250001957</t>
  </si>
  <si>
    <t>110700102064</t>
  </si>
  <si>
    <t>10003250001958</t>
  </si>
  <si>
    <t>110700102065</t>
  </si>
  <si>
    <t>10003250001959</t>
  </si>
  <si>
    <t>110700102066</t>
  </si>
  <si>
    <t>10003250001960</t>
  </si>
  <si>
    <t>110700102067</t>
  </si>
  <si>
    <t>10003250001961</t>
  </si>
  <si>
    <t>110700102068</t>
  </si>
  <si>
    <t>10003250001962</t>
  </si>
  <si>
    <t>110700102069</t>
  </si>
  <si>
    <t>10003250001963</t>
  </si>
  <si>
    <t>110700102070</t>
  </si>
  <si>
    <t>10003250001964</t>
  </si>
  <si>
    <t>110700102071</t>
  </si>
  <si>
    <t>10003250001965</t>
  </si>
  <si>
    <t>110700102072</t>
  </si>
  <si>
    <t>10003250001966</t>
  </si>
  <si>
    <t>110700102073</t>
  </si>
  <si>
    <t>10003250001967</t>
  </si>
  <si>
    <t>110700102074</t>
  </si>
  <si>
    <t>10003250001968</t>
  </si>
  <si>
    <t>110700102075</t>
  </si>
  <si>
    <t>10003250001969</t>
  </si>
  <si>
    <t>110700102076</t>
  </si>
  <si>
    <t>10003250001970</t>
  </si>
  <si>
    <t>110700102077</t>
  </si>
  <si>
    <t>10003250001971</t>
  </si>
  <si>
    <t>110700102078</t>
  </si>
  <si>
    <t>10003250001972</t>
  </si>
  <si>
    <t>110700102079</t>
  </si>
  <si>
    <t>10003250001973</t>
  </si>
  <si>
    <t>110700102080</t>
  </si>
  <si>
    <t>10003250001974</t>
  </si>
  <si>
    <t>110700102081</t>
  </si>
  <si>
    <t>10003250001975</t>
  </si>
  <si>
    <t>110700102082</t>
  </si>
  <si>
    <t>10003250001976</t>
  </si>
  <si>
    <t>110700102083</t>
  </si>
  <si>
    <t>10003250001977</t>
  </si>
  <si>
    <t>110700102084</t>
  </si>
  <si>
    <t>10003250001978</t>
  </si>
  <si>
    <t>110700102085</t>
  </si>
  <si>
    <t>10003250001979</t>
  </si>
  <si>
    <t>110700102086</t>
  </si>
  <si>
    <t>10003250001980</t>
  </si>
  <si>
    <t>110700102087</t>
  </si>
  <si>
    <t>10003250001981</t>
  </si>
  <si>
    <t>110700102088</t>
  </si>
  <si>
    <t>10003250001982</t>
  </si>
  <si>
    <t>110700102089</t>
  </si>
  <si>
    <t>10003250001983</t>
  </si>
  <si>
    <t>110700102090</t>
  </si>
  <si>
    <t>10003250001984</t>
  </si>
  <si>
    <t>110700102091</t>
  </si>
  <si>
    <t>10003250001985</t>
  </si>
  <si>
    <t>110700102092</t>
  </si>
  <si>
    <t>10003250001986</t>
  </si>
  <si>
    <t>110700102093</t>
  </si>
  <si>
    <t>10003250001987</t>
  </si>
  <si>
    <t>110700102094</t>
  </si>
  <si>
    <t>10003250001988</t>
  </si>
  <si>
    <t>110700102095</t>
  </si>
  <si>
    <t>10003250001989</t>
  </si>
  <si>
    <t>110700102096</t>
  </si>
  <si>
    <t>10003250001990</t>
  </si>
  <si>
    <t>110700102097</t>
  </si>
  <si>
    <t>10003250001991</t>
  </si>
  <si>
    <t>110700102098</t>
  </si>
  <si>
    <t>10003250001992</t>
  </si>
  <si>
    <t>110700102099</t>
  </si>
  <si>
    <t>10003250001993</t>
  </si>
  <si>
    <t>110700102100</t>
  </si>
  <si>
    <t>10003250001994</t>
  </si>
  <si>
    <t>110700102101</t>
  </si>
  <si>
    <t>10003250001995</t>
  </si>
  <si>
    <t>110700102102</t>
  </si>
  <si>
    <t>10003250001996</t>
  </si>
  <si>
    <t>110700102103</t>
  </si>
  <si>
    <t>10003250001997</t>
  </si>
  <si>
    <t>110700102104</t>
  </si>
  <si>
    <t>10003250001998</t>
  </si>
  <si>
    <t>110700102105</t>
  </si>
  <si>
    <t>10003250001999</t>
  </si>
  <si>
    <t>110700102106</t>
  </si>
  <si>
    <t>10003250002000</t>
  </si>
  <si>
    <t>110700102107</t>
  </si>
  <si>
    <t>10003250002001</t>
  </si>
  <si>
    <t>110700102108</t>
  </si>
  <si>
    <t>10003250002002</t>
  </si>
  <si>
    <t>110700102109</t>
  </si>
  <si>
    <t>10003250002003</t>
  </si>
  <si>
    <t>110700102110</t>
  </si>
  <si>
    <t>10003250002004</t>
  </si>
  <si>
    <t>110700102111</t>
  </si>
  <si>
    <t>10003250002005</t>
  </si>
  <si>
    <t>110700102112</t>
  </si>
  <si>
    <t>10003250002006</t>
  </si>
  <si>
    <t>110700102113</t>
  </si>
  <si>
    <t>10003250002007</t>
  </si>
  <si>
    <t>110700102114</t>
  </si>
  <si>
    <t>10003250002008</t>
  </si>
  <si>
    <t>110700102115</t>
  </si>
  <si>
    <t>10003250002009</t>
  </si>
  <si>
    <t>110700102116</t>
  </si>
  <si>
    <t>10003250002010</t>
  </si>
  <si>
    <t>110700102117</t>
  </si>
  <si>
    <t>10003250002011</t>
  </si>
  <si>
    <t>110700102118</t>
  </si>
  <si>
    <t>10003250002012</t>
  </si>
  <si>
    <t>110700102119</t>
  </si>
  <si>
    <t>10003250002013</t>
  </si>
  <si>
    <t>110700102120</t>
  </si>
  <si>
    <t>10003250002014</t>
  </si>
  <si>
    <t>110700102121</t>
  </si>
  <si>
    <t>10003250002015</t>
  </si>
  <si>
    <t>110700102122</t>
  </si>
  <si>
    <t>10003250002016</t>
  </si>
  <si>
    <t>110700102123</t>
  </si>
  <si>
    <t>10003250002017</t>
  </si>
  <si>
    <t>110700102124</t>
  </si>
  <si>
    <t>10003250002018</t>
  </si>
  <si>
    <t>110700102125</t>
  </si>
  <si>
    <t>10003250002019</t>
  </si>
  <si>
    <t>110700102126</t>
  </si>
  <si>
    <t>10003250002020</t>
  </si>
  <si>
    <t>110700102127</t>
  </si>
  <si>
    <t>10003250002021</t>
  </si>
  <si>
    <t>110700102128</t>
  </si>
  <si>
    <t>10003250002022</t>
  </si>
  <si>
    <t>110700102129</t>
  </si>
  <si>
    <t>10003250002023</t>
  </si>
  <si>
    <t>110700102130</t>
  </si>
  <si>
    <t>10003250002024</t>
  </si>
  <si>
    <t>110700102131</t>
  </si>
  <si>
    <t>10003250002025</t>
  </si>
  <si>
    <t>110700102132</t>
  </si>
  <si>
    <t>10003250002026</t>
  </si>
  <si>
    <t>110700102133</t>
  </si>
  <si>
    <t>10003250002027</t>
  </si>
  <si>
    <t>110700102134</t>
  </si>
  <si>
    <t>10003250002028</t>
  </si>
  <si>
    <t>110700102135</t>
  </si>
  <si>
    <t>10003250002029</t>
  </si>
  <si>
    <t>110700102136</t>
  </si>
  <si>
    <t>10003250002030</t>
  </si>
  <si>
    <t>110700102137</t>
  </si>
  <si>
    <t>10003250002031</t>
  </si>
  <si>
    <t>110700102138</t>
  </si>
  <si>
    <t>10003250002032</t>
  </si>
  <si>
    <t>110700102139</t>
  </si>
  <si>
    <t>10003250002033</t>
  </si>
  <si>
    <t>110700102140</t>
  </si>
  <si>
    <t>10003250002034</t>
  </si>
  <si>
    <t>110700102141</t>
  </si>
  <si>
    <t>10003250002035</t>
  </si>
  <si>
    <t>110700102142</t>
  </si>
  <si>
    <t>10003250002036</t>
  </si>
  <si>
    <t>110700102143</t>
  </si>
  <si>
    <t>10003250002037</t>
  </si>
  <si>
    <t>110700102144</t>
  </si>
  <si>
    <t>10003250002038</t>
  </si>
  <si>
    <t>110700102145</t>
  </si>
  <si>
    <t>10003250002039</t>
  </si>
  <si>
    <t>110700102146</t>
  </si>
  <si>
    <t>10003250002040</t>
  </si>
  <si>
    <t>110700102147</t>
  </si>
  <si>
    <t>10003250002041</t>
  </si>
  <si>
    <t>110700102148</t>
  </si>
  <si>
    <t>10003250002042</t>
  </si>
  <si>
    <t>110700102149</t>
  </si>
  <si>
    <t>10003250002043</t>
  </si>
  <si>
    <t>110700102150</t>
  </si>
  <si>
    <t>10003250002044</t>
  </si>
  <si>
    <t>110700102151</t>
  </si>
  <si>
    <t>10003250002045</t>
  </si>
  <si>
    <t>110700102152</t>
  </si>
  <si>
    <t>10003250002046</t>
  </si>
  <si>
    <t>110700102153</t>
  </si>
  <si>
    <t>10003250002047</t>
  </si>
  <si>
    <t>110700102154</t>
  </si>
  <si>
    <t>10003250002048</t>
  </si>
  <si>
    <t>110700102155</t>
  </si>
  <si>
    <t>10003250002049</t>
  </si>
  <si>
    <t>110700102156</t>
  </si>
  <si>
    <t>10003250002050</t>
  </si>
  <si>
    <t>110700102157</t>
  </si>
  <si>
    <t>10003250002051</t>
  </si>
  <si>
    <t>110700102158</t>
  </si>
  <si>
    <t>10003250002052</t>
  </si>
  <si>
    <t>110700102159</t>
  </si>
  <si>
    <t>10003250002053</t>
  </si>
  <si>
    <t>110700102160</t>
  </si>
  <si>
    <t>10003250002054</t>
  </si>
  <si>
    <t>110700102161</t>
  </si>
  <si>
    <t>10003250002055</t>
  </si>
  <si>
    <t>110700102162</t>
  </si>
  <si>
    <t>10003250002056</t>
  </si>
  <si>
    <t>110700102163</t>
  </si>
  <si>
    <t>10003250002057</t>
  </si>
  <si>
    <t>110700102164</t>
  </si>
  <si>
    <t>10003250002058</t>
  </si>
  <si>
    <t>110700102165</t>
  </si>
  <si>
    <t>10003250002059</t>
  </si>
  <si>
    <t>110700102166</t>
  </si>
  <si>
    <t>10003250002060</t>
  </si>
  <si>
    <t>110700102167</t>
  </si>
  <si>
    <t>10003250002061</t>
  </si>
  <si>
    <t>110700102168</t>
  </si>
  <si>
    <t>10003250002062</t>
  </si>
  <si>
    <t>110700102169</t>
  </si>
  <si>
    <t>10003250002063</t>
  </si>
  <si>
    <t>110700102170</t>
  </si>
  <si>
    <t>10003250002064</t>
  </si>
  <si>
    <t>110700102171</t>
  </si>
  <si>
    <t>10003250002065</t>
  </si>
  <si>
    <t>110700102172</t>
  </si>
  <si>
    <t>10003250002066</t>
  </si>
  <si>
    <t>110700102173</t>
  </si>
  <si>
    <t>10003250002067</t>
  </si>
  <si>
    <t>110700102174</t>
  </si>
  <si>
    <t>10003250002068</t>
  </si>
  <si>
    <t>110700102175</t>
  </si>
  <si>
    <t>10003250002069</t>
  </si>
  <si>
    <t>110700102176</t>
  </si>
  <si>
    <t>10003250002070</t>
  </si>
  <si>
    <t>110700102177</t>
  </si>
  <si>
    <t>10003250002071</t>
  </si>
  <si>
    <t>110700102178</t>
  </si>
  <si>
    <t>10003250002072</t>
  </si>
  <si>
    <t>110700102179</t>
  </si>
  <si>
    <t>10003250002073</t>
  </si>
  <si>
    <t>110700102180</t>
  </si>
  <si>
    <t>10003250002074</t>
  </si>
  <si>
    <t>110700102181</t>
  </si>
  <si>
    <t>10003250002075</t>
  </si>
  <si>
    <t>110700102182</t>
  </si>
  <si>
    <t>10003250002076</t>
  </si>
  <si>
    <t>110700102183</t>
  </si>
  <si>
    <t>10003250002077</t>
  </si>
  <si>
    <t>110700102184</t>
  </si>
  <si>
    <t>10003250002078</t>
  </si>
  <si>
    <t>110700102185</t>
  </si>
  <si>
    <t>10003250002079</t>
  </si>
  <si>
    <t>110700102186</t>
  </si>
  <si>
    <t>10003250002080</t>
  </si>
  <si>
    <t>110700102187</t>
  </si>
  <si>
    <t>10003250002081</t>
  </si>
  <si>
    <t>110700102188</t>
  </si>
  <si>
    <t>10003250002082</t>
  </si>
  <si>
    <t>110700102189</t>
  </si>
  <si>
    <t>10003250002083</t>
  </si>
  <si>
    <t>110700102190</t>
  </si>
  <si>
    <t>10003250002084</t>
  </si>
  <si>
    <t>110700102191</t>
  </si>
  <si>
    <t>10003250002085</t>
  </si>
  <si>
    <t>110700102192</t>
  </si>
  <si>
    <t>10003250002086</t>
  </si>
  <si>
    <t>110700102193</t>
  </si>
  <si>
    <t>10003250002087</t>
  </si>
  <si>
    <t>110700102194</t>
  </si>
  <si>
    <t>10003250002088</t>
  </si>
  <si>
    <t>110700102195</t>
  </si>
  <si>
    <t>10003250002089</t>
  </si>
  <si>
    <t>110700102196</t>
  </si>
  <si>
    <t>10003250002090</t>
  </si>
  <si>
    <t>110700102197</t>
  </si>
  <si>
    <t>10003250002091</t>
  </si>
  <si>
    <t>110700102198</t>
  </si>
  <si>
    <t>10003250002092</t>
  </si>
  <si>
    <t>110700102199</t>
  </si>
  <si>
    <t>10003250002093</t>
  </si>
  <si>
    <t>110700102200</t>
  </si>
  <si>
    <t>10003250002094</t>
  </si>
  <si>
    <t>110700102201</t>
  </si>
  <si>
    <t>10003250002095</t>
  </si>
  <si>
    <t>110700102202</t>
  </si>
  <si>
    <t>10003250002096</t>
  </si>
  <si>
    <t>110700102203</t>
  </si>
  <si>
    <t>10003250002097</t>
  </si>
  <si>
    <t>110700102204</t>
  </si>
  <si>
    <t>10003250002098</t>
  </si>
  <si>
    <t>110700102205</t>
  </si>
  <si>
    <t>10003250002099</t>
  </si>
  <si>
    <t>110700102206</t>
  </si>
  <si>
    <t>10003250002100</t>
  </si>
  <si>
    <t>110700102207</t>
  </si>
  <si>
    <t>10003250002101</t>
  </si>
  <si>
    <t>110700102208</t>
  </si>
  <si>
    <t>10003250002102</t>
  </si>
  <si>
    <t>110700102209</t>
  </si>
  <si>
    <t>10003250002103</t>
  </si>
  <si>
    <t>110700102210</t>
  </si>
  <si>
    <t>10003250002104</t>
  </si>
  <si>
    <t>110700102211</t>
  </si>
  <si>
    <t>10003250002105</t>
  </si>
  <si>
    <t>110700102212</t>
  </si>
  <si>
    <t>10003250002106</t>
  </si>
  <si>
    <t>110700102213</t>
  </si>
  <si>
    <t>10003250002107</t>
  </si>
  <si>
    <t>110700102214</t>
  </si>
  <si>
    <t>10003250002108</t>
  </si>
  <si>
    <t>110700102215</t>
  </si>
  <si>
    <t>10003250002109</t>
  </si>
  <si>
    <t>110700102216</t>
  </si>
  <si>
    <t>10003250002110</t>
  </si>
  <si>
    <t>110700102217</t>
  </si>
  <si>
    <t>10003250002111</t>
  </si>
  <si>
    <t>110700102218</t>
  </si>
  <si>
    <t>10003250002112</t>
  </si>
  <si>
    <t>110700102219</t>
  </si>
  <si>
    <t>10003250002113</t>
  </si>
  <si>
    <t>110700102220</t>
  </si>
  <si>
    <t>10003250002114</t>
  </si>
  <si>
    <t>110700102221</t>
  </si>
  <si>
    <t>10003250002115</t>
  </si>
  <si>
    <t>110700102222</t>
  </si>
  <si>
    <t>10003250002116</t>
  </si>
  <si>
    <t>110700102223</t>
  </si>
  <si>
    <t>10003250002117</t>
  </si>
  <si>
    <t>110700102224</t>
  </si>
  <si>
    <t>10003250002118</t>
  </si>
  <si>
    <t>110700102225</t>
  </si>
  <si>
    <t>10003250002119</t>
  </si>
  <si>
    <t>110700102226</t>
  </si>
  <si>
    <t>10003250002120</t>
  </si>
  <si>
    <t>110700102227</t>
  </si>
  <si>
    <t>10003250002121</t>
  </si>
  <si>
    <t>110700102228</t>
  </si>
  <si>
    <t>10003250002122</t>
  </si>
  <si>
    <t>110700102229</t>
  </si>
  <si>
    <t>10003250002123</t>
  </si>
  <si>
    <t>110700102230</t>
  </si>
  <si>
    <t>10003250002124</t>
  </si>
  <si>
    <t>110700102231</t>
  </si>
  <si>
    <t>10003250002125</t>
  </si>
  <si>
    <t>110700102232</t>
  </si>
  <si>
    <t>10003250002126</t>
  </si>
  <si>
    <t>110700102233</t>
  </si>
  <si>
    <t>10003250002127</t>
  </si>
  <si>
    <t>110700102234</t>
  </si>
  <si>
    <t>10003250002128</t>
  </si>
  <si>
    <t>110700102235</t>
  </si>
  <si>
    <t>10003250002129</t>
  </si>
  <si>
    <t>110700102236</t>
  </si>
  <si>
    <t>10003250002130</t>
  </si>
  <si>
    <t>110700102237</t>
  </si>
  <si>
    <t>10003250002131</t>
  </si>
  <si>
    <t>110700102238</t>
  </si>
  <si>
    <t>10003250002132</t>
  </si>
  <si>
    <t>110700102239</t>
  </si>
  <si>
    <t>10003250002133</t>
  </si>
  <si>
    <t>110700102240</t>
  </si>
  <si>
    <t>10003250002134</t>
  </si>
  <si>
    <t>110700102241</t>
  </si>
  <si>
    <t>10003250002135</t>
  </si>
  <si>
    <t>110700102242</t>
  </si>
  <si>
    <t>10003250002136</t>
  </si>
  <si>
    <t>110700102243</t>
  </si>
  <si>
    <t>10003250002137</t>
  </si>
  <si>
    <t>110700102244</t>
  </si>
  <si>
    <t>10003250002138</t>
  </si>
  <si>
    <t>110700102245</t>
  </si>
  <si>
    <t>10003250002139</t>
  </si>
  <si>
    <t>110700102246</t>
  </si>
  <si>
    <t>10003250002140</t>
  </si>
  <si>
    <t>110700102247</t>
  </si>
  <si>
    <t>10003250002141</t>
  </si>
  <si>
    <t>110700102248</t>
  </si>
  <si>
    <t>10003250002142</t>
  </si>
  <si>
    <t>110700102249</t>
  </si>
  <si>
    <t>10003250002143</t>
  </si>
  <si>
    <t>110700102250</t>
  </si>
  <si>
    <t>10003250002144</t>
  </si>
  <si>
    <t>110700102251</t>
  </si>
  <si>
    <t>10003250002145</t>
  </si>
  <si>
    <t>110700102252</t>
  </si>
  <si>
    <t>10003250002146</t>
  </si>
  <si>
    <t>110700102253</t>
  </si>
  <si>
    <t>10003250002147</t>
  </si>
  <si>
    <t>110700102254</t>
  </si>
  <si>
    <t>10003250002148</t>
  </si>
  <si>
    <t>110700102255</t>
  </si>
  <si>
    <t>10003250002149</t>
  </si>
  <si>
    <t>110700102256</t>
  </si>
  <si>
    <t>10003250002150</t>
  </si>
  <si>
    <t>110700102257</t>
  </si>
  <si>
    <t>10003250002151</t>
  </si>
  <si>
    <t>110700102258</t>
  </si>
  <si>
    <t>10003250002152</t>
  </si>
  <si>
    <t>110700102259</t>
  </si>
  <si>
    <t>10003250002153</t>
  </si>
  <si>
    <t>110700102260</t>
  </si>
  <si>
    <t>10003250002154</t>
  </si>
  <si>
    <t>110700102261</t>
  </si>
  <si>
    <t>10003250002155</t>
  </si>
  <si>
    <t>110700102262</t>
  </si>
  <si>
    <t>10003250002156</t>
  </si>
  <si>
    <t>110700102263</t>
  </si>
  <si>
    <t>10003250002157</t>
  </si>
  <si>
    <t>110700102264</t>
  </si>
  <si>
    <t>10003250002158</t>
  </si>
  <si>
    <t>110700102265</t>
  </si>
  <si>
    <t>10003250002159</t>
  </si>
  <si>
    <t>110700102266</t>
  </si>
  <si>
    <t>10003250002160</t>
  </si>
  <si>
    <t>110700102267</t>
  </si>
  <si>
    <t>10003250002161</t>
  </si>
  <si>
    <t>110700102268</t>
  </si>
  <si>
    <t>10003250002162</t>
  </si>
  <si>
    <t>110700102269</t>
  </si>
  <si>
    <t>10003250002163</t>
  </si>
  <si>
    <t>110700102270</t>
  </si>
  <si>
    <t>10003250002164</t>
  </si>
  <si>
    <t>110700102271</t>
  </si>
  <si>
    <t>10003250002165</t>
  </si>
  <si>
    <t>110700102272</t>
  </si>
  <si>
    <t>10003250002166</t>
  </si>
  <si>
    <t>110700102273</t>
  </si>
  <si>
    <t>10003250002167</t>
  </si>
  <si>
    <t>110700102274</t>
  </si>
  <si>
    <t>10003250002168</t>
  </si>
  <si>
    <t>110700102275</t>
  </si>
  <si>
    <t>10003250002169</t>
  </si>
  <si>
    <t>110700102276</t>
  </si>
  <si>
    <t>10003250002170</t>
  </si>
  <si>
    <t>110700102277</t>
  </si>
  <si>
    <t>10003250002171</t>
  </si>
  <si>
    <t>110700102278</t>
  </si>
  <si>
    <t>10003250002172</t>
  </si>
  <si>
    <t>110700102279</t>
  </si>
  <si>
    <t>10003250002173</t>
  </si>
  <si>
    <t>110700102280</t>
  </si>
  <si>
    <t>10003250002174</t>
  </si>
  <si>
    <t>110700102281</t>
  </si>
  <si>
    <t>10003250002175</t>
  </si>
  <si>
    <t>110700102282</t>
  </si>
  <si>
    <t>10003250002176</t>
  </si>
  <si>
    <t>110700102283</t>
  </si>
  <si>
    <t>10003250002177</t>
  </si>
  <si>
    <t>110700102284</t>
  </si>
  <si>
    <t>10003250002178</t>
  </si>
  <si>
    <t>110700102285</t>
  </si>
  <si>
    <t>10003250002179</t>
  </si>
  <si>
    <t>110700102286</t>
  </si>
  <si>
    <t>10003250002180</t>
  </si>
  <si>
    <t>110700102287</t>
  </si>
  <si>
    <t>10003250002181</t>
  </si>
  <si>
    <t>110700102288</t>
  </si>
  <si>
    <t>10003250002182</t>
  </si>
  <si>
    <t>110700102289</t>
  </si>
  <si>
    <t>10003250002183</t>
  </si>
  <si>
    <t>110700102290</t>
  </si>
  <si>
    <t>10003250002184</t>
  </si>
  <si>
    <t>110800110494</t>
  </si>
  <si>
    <t>10003250000567</t>
  </si>
  <si>
    <t>110900083045</t>
  </si>
  <si>
    <t>10003250000701</t>
  </si>
  <si>
    <t>110900092012</t>
  </si>
  <si>
    <t>10003250002832</t>
  </si>
  <si>
    <t>110900092013</t>
  </si>
  <si>
    <t>10003250002833</t>
  </si>
  <si>
    <t>110900092014</t>
  </si>
  <si>
    <t>10003250002834</t>
  </si>
  <si>
    <t>110900092015</t>
  </si>
  <si>
    <t>10003250002835</t>
  </si>
  <si>
    <t>110900092016</t>
  </si>
  <si>
    <t>10003250002836</t>
  </si>
  <si>
    <t>110900092017</t>
  </si>
  <si>
    <t>10003250002837</t>
  </si>
  <si>
    <t>110900092018</t>
  </si>
  <si>
    <t>10003250002838</t>
  </si>
  <si>
    <t>110900092019</t>
  </si>
  <si>
    <t>10003250002839</t>
  </si>
  <si>
    <t>110900092020</t>
  </si>
  <si>
    <t>10003250002840</t>
  </si>
  <si>
    <t>110900092021</t>
  </si>
  <si>
    <t>10003250002841</t>
  </si>
  <si>
    <t>110900092022</t>
  </si>
  <si>
    <t>10003250002842</t>
  </si>
  <si>
    <t>110900092023</t>
  </si>
  <si>
    <t>10003250002843</t>
  </si>
  <si>
    <t>110900092024</t>
  </si>
  <si>
    <t>10003250002844</t>
  </si>
  <si>
    <t>110900092025</t>
  </si>
  <si>
    <t>10003250002845</t>
  </si>
  <si>
    <t>110900092026</t>
  </si>
  <si>
    <t>10003250002846</t>
  </si>
  <si>
    <t>110900092027</t>
  </si>
  <si>
    <t>10003250002847</t>
  </si>
  <si>
    <t>110900092028</t>
  </si>
  <si>
    <t>10003250002848</t>
  </si>
  <si>
    <t>110900092029</t>
  </si>
  <si>
    <t>10003250002849</t>
  </si>
  <si>
    <t>110900092030</t>
  </si>
  <si>
    <t>10003250002850</t>
  </si>
  <si>
    <t>110900092031</t>
  </si>
  <si>
    <t>10003250002851</t>
  </si>
  <si>
    <t>110900092032</t>
  </si>
  <si>
    <t>10003250002852</t>
  </si>
  <si>
    <t>110900092033</t>
  </si>
  <si>
    <t>10003250002853</t>
  </si>
  <si>
    <t>110900092034</t>
  </si>
  <si>
    <t>10003250002854</t>
  </si>
  <si>
    <t>110900092035</t>
  </si>
  <si>
    <t>10003250002855</t>
  </si>
  <si>
    <t>110900092036</t>
  </si>
  <si>
    <t>10003250002856</t>
  </si>
  <si>
    <t>110900092037</t>
  </si>
  <si>
    <t>10003250002857</t>
  </si>
  <si>
    <t>110300089770</t>
  </si>
  <si>
    <t>10023250018419</t>
  </si>
  <si>
    <t>0111483322_001_001/E71852207/0026736096</t>
  </si>
  <si>
    <t>110700103041</t>
  </si>
  <si>
    <t>10023250014058</t>
  </si>
  <si>
    <t>110700103042</t>
  </si>
  <si>
    <t>10023250014059</t>
  </si>
  <si>
    <t>110800112880</t>
  </si>
  <si>
    <t>10023250016059</t>
  </si>
  <si>
    <t>110800112881</t>
  </si>
  <si>
    <t>10023250016060</t>
  </si>
  <si>
    <t>110800112882</t>
  </si>
  <si>
    <t>10023250016061</t>
  </si>
  <si>
    <t>111000266851</t>
  </si>
  <si>
    <t>10023250012072</t>
  </si>
  <si>
    <t>* Consulting to PO Number 4201411520, Pos. 00010 ;</t>
  </si>
  <si>
    <t>111000268437</t>
  </si>
  <si>
    <t>10023250013459</t>
  </si>
  <si>
    <t>8010164147</t>
  </si>
  <si>
    <t>P2P erhalten 05.02.2025 Zahlung am 14.02.2025</t>
  </si>
  <si>
    <t>110200090184</t>
  </si>
  <si>
    <t>10023250019854</t>
  </si>
  <si>
    <t>110800113381</t>
  </si>
  <si>
    <t>10023250016560</t>
  </si>
  <si>
    <t>110800113382</t>
  </si>
  <si>
    <t>10023250016561</t>
  </si>
  <si>
    <t>110800113383</t>
  </si>
  <si>
    <t>10023250016562</t>
  </si>
  <si>
    <t>110800113384</t>
  </si>
  <si>
    <t>10023250016563</t>
  </si>
  <si>
    <t>110800113385</t>
  </si>
  <si>
    <t>10023250016564</t>
  </si>
  <si>
    <t>110800113386</t>
  </si>
  <si>
    <t>10023250016565</t>
  </si>
  <si>
    <t>110800113387</t>
  </si>
  <si>
    <t>10023250016566</t>
  </si>
  <si>
    <t>110800113388</t>
  </si>
  <si>
    <t>10023250016567</t>
  </si>
  <si>
    <t>110000113061</t>
  </si>
  <si>
    <t>10023250018710</t>
  </si>
  <si>
    <t>110300089834</t>
  </si>
  <si>
    <t>10023250018483</t>
  </si>
  <si>
    <t>0111444172_001_001/E71855996/0021186320</t>
  </si>
  <si>
    <t>110300089835</t>
  </si>
  <si>
    <t>10023250018484</t>
  </si>
  <si>
    <t>0111444174_001_001/E71855996/0024750393</t>
  </si>
  <si>
    <t>110300089836</t>
  </si>
  <si>
    <t>10023250018485</t>
  </si>
  <si>
    <t>110300089837</t>
  </si>
  <si>
    <t>10023250018486</t>
  </si>
  <si>
    <t>110700103141</t>
  </si>
  <si>
    <t>10023250014158</t>
  </si>
  <si>
    <t>110800113282</t>
  </si>
  <si>
    <t>10023250016461</t>
  </si>
  <si>
    <t>110800113283</t>
  </si>
  <si>
    <t>10023250016462</t>
  </si>
  <si>
    <t>110800113284</t>
  </si>
  <si>
    <t>10023250016463</t>
  </si>
  <si>
    <t>110800113285</t>
  </si>
  <si>
    <t>10023250016464</t>
  </si>
  <si>
    <t>110800113286</t>
  </si>
  <si>
    <t>10023250016465</t>
  </si>
  <si>
    <t>110800113287</t>
  </si>
  <si>
    <t>10023250016466</t>
  </si>
  <si>
    <t>110800113288</t>
  </si>
  <si>
    <t>10023250016467</t>
  </si>
  <si>
    <t>110800113289</t>
  </si>
  <si>
    <t>10023250016468</t>
  </si>
  <si>
    <t>110800113290</t>
  </si>
  <si>
    <t>10023250016469</t>
  </si>
  <si>
    <t>110800113291</t>
  </si>
  <si>
    <t>10023250016470</t>
  </si>
  <si>
    <t>110800113292</t>
  </si>
  <si>
    <t>10023250016471</t>
  </si>
  <si>
    <t>110800113293</t>
  </si>
  <si>
    <t>10023250016472</t>
  </si>
  <si>
    <t>110800113294</t>
  </si>
  <si>
    <t>10023250016473</t>
  </si>
  <si>
    <t>110800113295</t>
  </si>
  <si>
    <t>10023250016474</t>
  </si>
  <si>
    <t>110800113296</t>
  </si>
  <si>
    <t>10023250016475</t>
  </si>
  <si>
    <t>110800113297</t>
  </si>
  <si>
    <t>10023250016476</t>
  </si>
  <si>
    <t>110800113298</t>
  </si>
  <si>
    <t>10023250016477</t>
  </si>
  <si>
    <t>110800113299</t>
  </si>
  <si>
    <t>10023250016478</t>
  </si>
  <si>
    <t>110800113300</t>
  </si>
  <si>
    <t>10023250016479</t>
  </si>
  <si>
    <t>110800113301</t>
  </si>
  <si>
    <t>10023250016480</t>
  </si>
  <si>
    <t>110800113302</t>
  </si>
  <si>
    <t>10023250016481</t>
  </si>
  <si>
    <t>110800113303</t>
  </si>
  <si>
    <t>10023250016482</t>
  </si>
  <si>
    <t>110800113304</t>
  </si>
  <si>
    <t>10023250016483</t>
  </si>
  <si>
    <t>110800113305</t>
  </si>
  <si>
    <t>10023250016484</t>
  </si>
  <si>
    <t>110800113306</t>
  </si>
  <si>
    <t>10023250016485</t>
  </si>
  <si>
    <t>110800113307</t>
  </si>
  <si>
    <t>10023250016486</t>
  </si>
  <si>
    <t>110800113308</t>
  </si>
  <si>
    <t>10023250016487</t>
  </si>
  <si>
    <t>110800113309</t>
  </si>
  <si>
    <t>10023250016488</t>
  </si>
  <si>
    <t>110800113310</t>
  </si>
  <si>
    <t>10023250016489</t>
  </si>
  <si>
    <t>110800113311</t>
  </si>
  <si>
    <t>10023250016490</t>
  </si>
  <si>
    <t>110800113312</t>
  </si>
  <si>
    <t>10023250016491</t>
  </si>
  <si>
    <t>110800113313</t>
  </si>
  <si>
    <t>10023250016492</t>
  </si>
  <si>
    <t>110900092159</t>
  </si>
  <si>
    <t>10023250020536</t>
  </si>
  <si>
    <t>110700104562</t>
  </si>
  <si>
    <t>10023250018767</t>
  </si>
  <si>
    <t>8010165626</t>
  </si>
  <si>
    <t>For invoice 40023240000195</t>
  </si>
  <si>
    <t>110000112148</t>
  </si>
  <si>
    <t>10023250017839</t>
  </si>
  <si>
    <t>110000112149</t>
  </si>
  <si>
    <t>10023250017840</t>
  </si>
  <si>
    <t>110100096556</t>
  </si>
  <si>
    <t>10023250013323</t>
  </si>
  <si>
    <t>110700103079</t>
  </si>
  <si>
    <t>10023250014096</t>
  </si>
  <si>
    <t>110800112977</t>
  </si>
  <si>
    <t>10023250016156</t>
  </si>
  <si>
    <t>110800112978</t>
  </si>
  <si>
    <t>10023250016157</t>
  </si>
  <si>
    <t>110800112979</t>
  </si>
  <si>
    <t>10023250016158</t>
  </si>
  <si>
    <t>110800112980</t>
  </si>
  <si>
    <t>10023250016159</t>
  </si>
  <si>
    <t>110800112981</t>
  </si>
  <si>
    <t>10023250016160</t>
  </si>
  <si>
    <t>110800112982</t>
  </si>
  <si>
    <t>10023250016161</t>
  </si>
  <si>
    <t>110800112983</t>
  </si>
  <si>
    <t>10023250016162</t>
  </si>
  <si>
    <t>110800112984</t>
  </si>
  <si>
    <t>10023250016163</t>
  </si>
  <si>
    <t>110800112985</t>
  </si>
  <si>
    <t>10023250016164</t>
  </si>
  <si>
    <t>110800112986</t>
  </si>
  <si>
    <t>10023250016165</t>
  </si>
  <si>
    <t>110800112987</t>
  </si>
  <si>
    <t>10023250016166</t>
  </si>
  <si>
    <t>110500096595</t>
  </si>
  <si>
    <t>10023250020197</t>
  </si>
  <si>
    <t>110800112540</t>
  </si>
  <si>
    <t>10023250015719</t>
  </si>
  <si>
    <t>110800112541</t>
  </si>
  <si>
    <t>10023250015720</t>
  </si>
  <si>
    <t>110800112542</t>
  </si>
  <si>
    <t>10023250015721</t>
  </si>
  <si>
    <t>110800112543</t>
  </si>
  <si>
    <t>10023250015722</t>
  </si>
  <si>
    <t>110800112544</t>
  </si>
  <si>
    <t>10023250015723</t>
  </si>
  <si>
    <t>110800112545</t>
  </si>
  <si>
    <t>10023250015724</t>
  </si>
  <si>
    <t>110800112546</t>
  </si>
  <si>
    <t>10023250015725</t>
  </si>
  <si>
    <t>110800112547</t>
  </si>
  <si>
    <t>10023250015726</t>
  </si>
  <si>
    <t>110000113035</t>
  </si>
  <si>
    <t>10023250018684</t>
  </si>
  <si>
    <t>110200090109</t>
  </si>
  <si>
    <t>10023250019779</t>
  </si>
  <si>
    <t>110200090110</t>
  </si>
  <si>
    <t>10023250019780</t>
  </si>
  <si>
    <t>110700103014</t>
  </si>
  <si>
    <t>10023250014031</t>
  </si>
  <si>
    <t>28229</t>
  </si>
  <si>
    <t>SGS Institut Fresenius GmbH</t>
  </si>
  <si>
    <t>110800112180</t>
  </si>
  <si>
    <t>10023250015359</t>
  </si>
  <si>
    <t>110100095258</t>
  </si>
  <si>
    <t>10023250012176</t>
  </si>
  <si>
    <t>0111460845_001_001/E71800497/0019235001</t>
  </si>
  <si>
    <t>110200090127</t>
  </si>
  <si>
    <t>10023250019797</t>
  </si>
  <si>
    <t>110300088326</t>
  </si>
  <si>
    <t>10023250017018</t>
  </si>
  <si>
    <t>110800112889</t>
  </si>
  <si>
    <t>10023250016068</t>
  </si>
  <si>
    <t>110800112890</t>
  </si>
  <si>
    <t>10023250016069</t>
  </si>
  <si>
    <t>110800112891</t>
  </si>
  <si>
    <t>10023250016070</t>
  </si>
  <si>
    <t>110800112892</t>
  </si>
  <si>
    <t>10023250016071</t>
  </si>
  <si>
    <t>110900092511</t>
  </si>
  <si>
    <t>20023250000573</t>
  </si>
  <si>
    <t>110100097197</t>
  </si>
  <si>
    <t>10023250017325</t>
  </si>
  <si>
    <t>0111493479_001_001/E71878053/0026761756</t>
  </si>
  <si>
    <t>110100097198</t>
  </si>
  <si>
    <t>10023250017326</t>
  </si>
  <si>
    <t>0111493480_001_001/E71878053/0026761763</t>
  </si>
  <si>
    <t>110300089650</t>
  </si>
  <si>
    <t>10023250018299</t>
  </si>
  <si>
    <t>110300089651</t>
  </si>
  <si>
    <t>10023250018300</t>
  </si>
  <si>
    <t>110300089652</t>
  </si>
  <si>
    <t>10023250018301</t>
  </si>
  <si>
    <t>110300089653</t>
  </si>
  <si>
    <t>10023250018302</t>
  </si>
  <si>
    <t>110300089654</t>
  </si>
  <si>
    <t>10023250018303</t>
  </si>
  <si>
    <t>110300089655</t>
  </si>
  <si>
    <t>10023250018304</t>
  </si>
  <si>
    <t>110300089656</t>
  </si>
  <si>
    <t>10023250018305</t>
  </si>
  <si>
    <t>110300089657</t>
  </si>
  <si>
    <t>10023250018306</t>
  </si>
  <si>
    <t>110100096550</t>
  </si>
  <si>
    <t>10023250013316</t>
  </si>
  <si>
    <t>110200090051</t>
  </si>
  <si>
    <t>10023250019721</t>
  </si>
  <si>
    <t>8002049835</t>
  </si>
  <si>
    <t>110900092056</t>
  </si>
  <si>
    <t>10023250020433</t>
  </si>
  <si>
    <t>110700102796</t>
  </si>
  <si>
    <t>10023250013813</t>
  </si>
  <si>
    <t>110700102797</t>
  </si>
  <si>
    <t>10023250013814</t>
  </si>
  <si>
    <t>110700102798</t>
  </si>
  <si>
    <t>10023250013815</t>
  </si>
  <si>
    <t>110700102799</t>
  </si>
  <si>
    <t>10023250013816</t>
  </si>
  <si>
    <t>110700102800</t>
  </si>
  <si>
    <t>10023250013817</t>
  </si>
  <si>
    <t>111000268491</t>
  </si>
  <si>
    <t>10023250013446</t>
  </si>
  <si>
    <t>* Consulting to PO Number 1100055909 ; Order</t>
  </si>
  <si>
    <t>Info von Vendy an AE-Gten erstellt @17.2.</t>
  </si>
  <si>
    <t>110100097242</t>
  </si>
  <si>
    <t>10023250017370</t>
  </si>
  <si>
    <t>110100097243</t>
  </si>
  <si>
    <t>10023250017371</t>
  </si>
  <si>
    <t>110100097244</t>
  </si>
  <si>
    <t>10023250017372</t>
  </si>
  <si>
    <t>110100097245</t>
  </si>
  <si>
    <t>10023250017373</t>
  </si>
  <si>
    <t>110100097246</t>
  </si>
  <si>
    <t>10023250017374</t>
  </si>
  <si>
    <t>110100097247</t>
  </si>
  <si>
    <t>10023250017375</t>
  </si>
  <si>
    <t>110100097248</t>
  </si>
  <si>
    <t>10023250017376</t>
  </si>
  <si>
    <t>110100097249</t>
  </si>
  <si>
    <t>10023250017377</t>
  </si>
  <si>
    <t>110100097250</t>
  </si>
  <si>
    <t>10023250017378</t>
  </si>
  <si>
    <t>110100097251</t>
  </si>
  <si>
    <t>10023250017379</t>
  </si>
  <si>
    <t>110300089735</t>
  </si>
  <si>
    <t>10023250018384</t>
  </si>
  <si>
    <t>0111472047_001_001/E71851534/0026712034</t>
  </si>
  <si>
    <t>111000269239</t>
  </si>
  <si>
    <t>10023250017176</t>
  </si>
  <si>
    <t>111000270783</t>
  </si>
  <si>
    <t>10023250019437</t>
  </si>
  <si>
    <t>8004057475</t>
  </si>
  <si>
    <t>110200090220</t>
  </si>
  <si>
    <t>10023250019890</t>
  </si>
  <si>
    <t>111000271258</t>
  </si>
  <si>
    <t>20023250000556</t>
  </si>
  <si>
    <t>111000270608</t>
  </si>
  <si>
    <t>10023250019248</t>
  </si>
  <si>
    <t>110000113178</t>
  </si>
  <si>
    <t>10023250018796</t>
  </si>
  <si>
    <t>P2P erhalten 20.02.2025 Zahlung am 03.03.2025</t>
  </si>
  <si>
    <t>110100096646</t>
  </si>
  <si>
    <t>10023250017065</t>
  </si>
  <si>
    <t>110100099599</t>
  </si>
  <si>
    <t>10023250018866</t>
  </si>
  <si>
    <t>110100099600</t>
  </si>
  <si>
    <t>10023250018867</t>
  </si>
  <si>
    <t>110100099601</t>
  </si>
  <si>
    <t>10023250018868</t>
  </si>
  <si>
    <t>110200087721</t>
  </si>
  <si>
    <t>10023250012221</t>
  </si>
  <si>
    <t>110200089914</t>
  </si>
  <si>
    <t>10023250019584</t>
  </si>
  <si>
    <t>110200089915</t>
  </si>
  <si>
    <t>10023250019585</t>
  </si>
  <si>
    <t>110200089916</t>
  </si>
  <si>
    <t>10023250019586</t>
  </si>
  <si>
    <t>110700102647</t>
  </si>
  <si>
    <t>10023250013664</t>
  </si>
  <si>
    <t>110700102648</t>
  </si>
  <si>
    <t>10023250013665</t>
  </si>
  <si>
    <t>110800110495</t>
  </si>
  <si>
    <t>10023250012222</t>
  </si>
  <si>
    <t>110800114146</t>
  </si>
  <si>
    <t>10023250017161</t>
  </si>
  <si>
    <t>110900083089</t>
  </si>
  <si>
    <t>10023250012310</t>
  </si>
  <si>
    <t>110900083090</t>
  </si>
  <si>
    <t>10023250012311</t>
  </si>
  <si>
    <t>110900083091</t>
  </si>
  <si>
    <t>10023250012312</t>
  </si>
  <si>
    <t>110900083092</t>
  </si>
  <si>
    <t>10023250012313</t>
  </si>
  <si>
    <t>111000269173</t>
  </si>
  <si>
    <t>10023250017116</t>
  </si>
  <si>
    <t>111000269176</t>
  </si>
  <si>
    <t>10023250017119</t>
  </si>
  <si>
    <t>111000269905</t>
  </si>
  <si>
    <t>10023250018041</t>
  </si>
  <si>
    <t>111000269909</t>
  </si>
  <si>
    <t>10023250018045</t>
  </si>
  <si>
    <t>111000269932</t>
  </si>
  <si>
    <t>10023250018049</t>
  </si>
  <si>
    <t>111000270956</t>
  </si>
  <si>
    <t>10023250019959</t>
  </si>
  <si>
    <t>111000270959</t>
  </si>
  <si>
    <t>10023250019962</t>
  </si>
  <si>
    <t>111000271005</t>
  </si>
  <si>
    <t>10023250019968</t>
  </si>
  <si>
    <t>111000271253</t>
  </si>
  <si>
    <t>10023250020223</t>
  </si>
  <si>
    <t>111000271254</t>
  </si>
  <si>
    <t>10023250020224</t>
  </si>
  <si>
    <t>789017</t>
  </si>
  <si>
    <t>111000268684</t>
  </si>
  <si>
    <t>20023250000304</t>
  </si>
  <si>
    <t>110000112966</t>
  </si>
  <si>
    <t>10023250018615</t>
  </si>
  <si>
    <t>110100099657</t>
  </si>
  <si>
    <t>10023250018924</t>
  </si>
  <si>
    <t>110200090213</t>
  </si>
  <si>
    <t>10023250019883</t>
  </si>
  <si>
    <t>110700103243</t>
  </si>
  <si>
    <t>10023250014260</t>
  </si>
  <si>
    <t>110700103244</t>
  </si>
  <si>
    <t>10023250014261</t>
  </si>
  <si>
    <t>110900092188</t>
  </si>
  <si>
    <t>10023250020565</t>
  </si>
  <si>
    <t>0111524724_001_001/E71852882/0026707558</t>
  </si>
  <si>
    <t>111000267372</t>
  </si>
  <si>
    <t>10023250012640</t>
  </si>
  <si>
    <t>111000268074</t>
  </si>
  <si>
    <t>10023250013103</t>
  </si>
  <si>
    <t>8002049457</t>
  </si>
  <si>
    <t>8005052172</t>
  </si>
  <si>
    <t>110800111805</t>
  </si>
  <si>
    <t>10023250014984</t>
  </si>
  <si>
    <t>110800111806</t>
  </si>
  <si>
    <t>10023250014985</t>
  </si>
  <si>
    <t>110500095834</t>
  </si>
  <si>
    <t>10023250019075</t>
  </si>
  <si>
    <t>110500095835</t>
  </si>
  <si>
    <t>10023250019076</t>
  </si>
  <si>
    <t>111000267503</t>
  </si>
  <si>
    <t>10023250012754</t>
  </si>
  <si>
    <t>* Consulting to PO Number 2612515217 / 08.Feb.2024</t>
  </si>
  <si>
    <t>110100097179</t>
  </si>
  <si>
    <t>10023250017307</t>
  </si>
  <si>
    <t>110200089945</t>
  </si>
  <si>
    <t>10023250019615</t>
  </si>
  <si>
    <t>110200090152</t>
  </si>
  <si>
    <t>10023250019822</t>
  </si>
  <si>
    <t>110800113063</t>
  </si>
  <si>
    <t>10023250016242</t>
  </si>
  <si>
    <t>110800113064</t>
  </si>
  <si>
    <t>10023250016243</t>
  </si>
  <si>
    <t>110800113065</t>
  </si>
  <si>
    <t>10023250016244</t>
  </si>
  <si>
    <t>110800113066</t>
  </si>
  <si>
    <t>10023250016245</t>
  </si>
  <si>
    <t>110800113067</t>
  </si>
  <si>
    <t>10023250016246</t>
  </si>
  <si>
    <t>110800113068</t>
  </si>
  <si>
    <t>10023250016247</t>
  </si>
  <si>
    <t>110700102717</t>
  </si>
  <si>
    <t>10023250013734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</si>
</sst>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[$CHF]_-;\-* #,##0.00\ [$CHF]_-;_-* &quot;-&quot;??\ [$CHF]_-;_-@_-"/>
    <numFmt numFmtId="165" formatCode="_-* #,##0.00\ [$EUR]_-;\-* #,##0.00\ [$EUR]_-;_-* &quot;-&quot;??\ [$EUR]_-;_-@_-"/>
    <numFmt numFmtId="166" formatCode="_-* #,##0.00\ _K_č_-;\-* #,##0.00\ _K_č_-;_-* &quot;-&quot;??\ _K_č_-;_-@_-"/>
  </numFmts>
  <fonts count="9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charset val="238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3" borderId="1" applyNumberFormat="0" applyAlignment="0" applyProtection="0"/>
  </cellStyleXfs>
  <cellXfs count="49">
    <xf numFmtId="0" fontId="0" fillId="0" borderId="0" xfId="0"/>
    <xf numFmtId="0" fontId="0" fillId="0" borderId="0" xfId="0" applyBorder="1"/>
    <xf numFmtId="0" fontId="0" fillId="0" borderId="0" xfId="0" applyAlignment="1">
      <alignment vertical="top"/>
    </xf>
    <xf numFmtId="14" fontId="0" fillId="0" borderId="0" xfId="0" applyNumberFormat="1" applyAlignment="1">
      <alignment vertical="top"/>
    </xf>
    <xf numFmtId="0" fontId="0" fillId="0" borderId="2" xfId="0" applyBorder="1" applyAlignment="1">
      <alignment vertical="top"/>
    </xf>
    <xf numFmtId="14" fontId="0" fillId="0" borderId="2" xfId="0" applyNumberFormat="1" applyBorder="1" applyAlignment="1">
      <alignment vertical="top"/>
    </xf>
    <xf numFmtId="0" fontId="3" fillId="0" borderId="0" xfId="0" applyFont="1" applyAlignment="1">
      <alignment vertical="top"/>
    </xf>
    <xf numFmtId="0" fontId="3" fillId="5" borderId="0" xfId="0" applyFont="1" applyFill="1" applyAlignment="1">
      <alignment vertical="top"/>
    </xf>
    <xf numFmtId="0" fontId="0" fillId="0" borderId="0" xfId="0" applyBorder="1" applyAlignment="1">
      <alignment vertical="top"/>
    </xf>
    <xf numFmtId="14" fontId="3" fillId="0" borderId="0" xfId="0" applyNumberFormat="1" applyFont="1" applyAlignment="1">
      <alignment vertical="top"/>
    </xf>
    <xf numFmtId="3" fontId="3" fillId="0" borderId="0" xfId="0" applyNumberFormat="1" applyFont="1" applyAlignment="1">
      <alignment vertical="top"/>
    </xf>
    <xf numFmtId="4" fontId="3" fillId="0" borderId="0" xfId="0" applyNumberFormat="1" applyFont="1" applyAlignment="1">
      <alignment vertical="top"/>
    </xf>
    <xf numFmtId="3" fontId="3" fillId="0" borderId="0" xfId="0" quotePrefix="1" applyNumberFormat="1" applyFont="1" applyAlignment="1">
      <alignment vertical="top"/>
    </xf>
    <xf numFmtId="4" fontId="3" fillId="0" borderId="0" xfId="0" quotePrefix="1" applyNumberFormat="1" applyFont="1" applyAlignment="1">
      <alignment vertical="top"/>
    </xf>
    <xf numFmtId="0" fontId="0" fillId="0" borderId="4" xfId="0" applyBorder="1" applyAlignment="1">
      <alignment vertical="top"/>
    </xf>
    <xf numFmtId="14" fontId="0" fillId="6" borderId="2" xfId="0" applyNumberFormat="1" applyFill="1" applyBorder="1" applyAlignment="1">
      <alignment vertical="top"/>
    </xf>
    <xf numFmtId="14" fontId="0" fillId="9" borderId="6" xfId="0" applyNumberFormat="1" applyFill="1" applyBorder="1" applyAlignment="1">
      <alignment vertical="top"/>
    </xf>
    <xf numFmtId="14" fontId="0" fillId="8" borderId="11" xfId="0" applyNumberFormat="1" applyFill="1" applyBorder="1"/>
    <xf numFmtId="0" fontId="0" fillId="0" borderId="14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7" xfId="0" applyBorder="1"/>
    <xf numFmtId="0" fontId="8" fillId="3" borderId="3" xfId="2" applyFont="1" applyBorder="1" applyAlignment="1">
      <alignment vertical="top"/>
    </xf>
    <xf numFmtId="165" fontId="0" fillId="4" borderId="7" xfId="0" applyNumberFormat="1" applyFill="1" applyBorder="1" applyAlignment="1">
      <alignment vertical="top"/>
    </xf>
    <xf numFmtId="164" fontId="0" fillId="4" borderId="9" xfId="0" applyNumberFormat="1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6" fillId="0" borderId="0" xfId="1" applyNumberFormat="1" applyFont="1" applyFill="1" applyBorder="1" applyAlignment="1">
      <alignment vertical="top"/>
    </xf>
    <xf numFmtId="0" fontId="5" fillId="0" borderId="0" xfId="0" applyFont="1" applyFill="1" applyBorder="1" applyAlignment="1">
      <alignment vertical="top"/>
    </xf>
    <xf numFmtId="14" fontId="0" fillId="0" borderId="0" xfId="0" applyNumberFormat="1" applyBorder="1"/>
    <xf numFmtId="14" fontId="0" fillId="0" borderId="13" xfId="0" applyNumberFormat="1" applyBorder="1" applyAlignment="1">
      <alignment vertical="top"/>
    </xf>
    <xf numFmtId="14" fontId="0" fillId="0" borderId="12" xfId="0" applyNumberFormat="1" applyBorder="1" applyAlignment="1">
      <alignment vertical="top"/>
    </xf>
    <xf numFmtId="14" fontId="0" fillId="0" borderId="16" xfId="0" applyNumberFormat="1" applyBorder="1"/>
    <xf numFmtId="166" fontId="0" fillId="0" borderId="0" xfId="0" applyNumberFormat="1" applyAlignment="1">
      <alignment vertical="top"/>
    </xf>
    <xf numFmtId="166" fontId="0" fillId="0" borderId="0" xfId="0" applyNumberFormat="1" applyBorder="1"/>
    <xf numFmtId="166" fontId="0" fillId="0" borderId="2" xfId="0" applyNumberFormat="1" applyBorder="1" applyAlignment="1">
      <alignment vertical="top"/>
    </xf>
    <xf numFmtId="0" fontId="6" fillId="2" borderId="19" xfId="1" applyNumberFormat="1" applyFont="1" applyBorder="1" applyAlignment="1">
      <alignment vertical="top"/>
    </xf>
    <xf numFmtId="0" fontId="6" fillId="2" borderId="20" xfId="1" applyNumberFormat="1" applyFont="1" applyBorder="1" applyAlignment="1">
      <alignment vertical="top"/>
    </xf>
    <xf numFmtId="14" fontId="6" fillId="2" borderId="20" xfId="1" applyNumberFormat="1" applyFont="1" applyBorder="1" applyAlignment="1">
      <alignment vertical="top"/>
    </xf>
    <xf numFmtId="166" fontId="6" fillId="2" borderId="20" xfId="1" applyNumberFormat="1" applyFont="1" applyBorder="1" applyAlignment="1">
      <alignment vertical="top"/>
    </xf>
    <xf numFmtId="0" fontId="6" fillId="2" borderId="21" xfId="1" applyNumberFormat="1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0" fillId="0" borderId="2" xfId="0" applyFill="1" applyBorder="1" applyAlignment="1">
      <alignment vertical="top"/>
    </xf>
    <xf numFmtId="14" fontId="0" fillId="0" borderId="2" xfId="0" applyNumberFormat="1" applyFill="1" applyBorder="1" applyAlignment="1">
      <alignment vertical="top"/>
    </xf>
    <xf numFmtId="0" fontId="0" fillId="0" borderId="0" xfId="0" pivotButton="1"/>
    <xf numFmtId="166" fontId="0" fillId="0" borderId="0" xfId="0" applyNumberFormat="1"/>
    <xf numFmtId="0" fontId="5" fillId="7" borderId="5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</xdr:rowOff>
        </xdr:from>
        <xdr:to>
          <xdr:col>1</xdr:col>
          <xdr:colOff>2562225</xdr:colOff>
          <xdr:row>2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9525</xdr:rowOff>
        </xdr:from>
        <xdr:to>
          <xdr:col>7</xdr:col>
          <xdr:colOff>1162050</xdr:colOff>
          <xdr:row>2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"Data"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brt, Richard" refreshedDate="45716.537653009262" createdVersion="8" refreshedVersion="8" minRefreshableVersion="3" recordCount="1591" xr:uid="{B9276C15-7C22-4170-BD51-DD2FF42EDC53}">
  <cacheSource type="worksheet">
    <worksheetSource ref="A1:M1048576" sheet="Data"/>
  </cacheSource>
  <cacheFields count="13">
    <cacheField name="Company Code" numFmtId="0">
      <sharedItems containsBlank="1" count="4">
        <s v="0002"/>
        <s v="0003"/>
        <s v="0023"/>
        <m/>
      </sharedItems>
    </cacheField>
    <cacheField name="Business Partner" numFmtId="0">
      <sharedItems containsBlank="1"/>
    </cacheField>
    <cacheField name="BusinessPartner Name" numFmtId="0">
      <sharedItems containsBlank="1" count="50">
        <s v="Georg Fischer AG"/>
        <s v="Lonza AG"/>
        <s v="Ivoclar Vivadent AG"/>
        <s v="Jet Aviation Management AG"/>
        <s v="Insel Gruppe AG"/>
        <s v="Triumph Intertrade AG"/>
        <s v="Aveniq AG"/>
        <s v="Fenaco Genossenschaft"/>
        <s v="Kanton Aargau Vertreten durch"/>
        <s v="SR Technics Switzerland Ltd."/>
        <s v="Aveniq Avectris AG"/>
        <s v="Lonza Group AG"/>
        <s v="Octapharma AG"/>
        <s v="neo technologies SA"/>
        <s v="Omya (Schweiz) AG"/>
        <s v="Novelis AG"/>
        <s v="Kanton Aargau"/>
        <s v="ANG Schweiz AG"/>
        <s v="ANG GmbH"/>
        <s v="Beiersdorf Shared Services GmbH"/>
        <s v="Schaeffler Technologies AG &amp; Co. KG"/>
        <s v="UNIORG Consulting GmbH"/>
        <s v="Groz-Beckert KG"/>
        <s v="Fraport AG"/>
        <s v="Fresenius SE &amp; Co. KGaA"/>
        <s v="Arvato Systems GmbH"/>
        <s v="ebm-papst Mulfingen GmbH &amp; Co. KG"/>
        <s v="Bertelsmann SE &amp; Co. KGaA"/>
        <s v="SGS Institut Fresenius GmbH"/>
        <s v="Fresenius Medical Care Deutschland GmbH"/>
        <s v="Arvato Systems Digital GmbH"/>
        <s v="Drägerwerk AG &amp; Co. KGaA"/>
        <s v="Charité - Universitätsmedizin Berlin"/>
        <s v="Sto SE &amp; Co. KGaA"/>
        <s v="TÜV SÜD AG"/>
        <s v="EVH GmbH"/>
        <s v="AOK Systems GmbH"/>
        <s v="TÜV Rheinland Service GmbH"/>
        <s v="Fresenius Digital Technology GmbH"/>
        <s v="UNIORG Services GmbH"/>
        <s v="Pilkington Holding GmbH"/>
        <s v="CITTI Handelsgesellschaft mbH &amp; Co.KG"/>
        <s v="Dürr Group Services GmbH"/>
        <s v="Fresenius Medical Care AG"/>
        <s v="FLENDER GmbH"/>
        <s v="Arvato SE"/>
        <s v="EFA Autoteilewelt GmbH"/>
        <s v="METRO Digital GmbH"/>
        <s v="Charité Universitätsmedizin Berlin"/>
        <m/>
      </sharedItems>
    </cacheField>
    <cacheField name="Document Number" numFmtId="0">
      <sharedItems containsBlank="1"/>
    </cacheField>
    <cacheField name="Ref. document number" numFmtId="0">
      <sharedItems containsBlank="1"/>
    </cacheField>
    <cacheField name="Document Date" numFmtId="0">
      <sharedItems containsNonDate="0" containsDate="1" containsString="0" containsBlank="1" minDate="2021-11-16T00:00:00" maxDate="2025-02-28T00:00:00"/>
    </cacheField>
    <cacheField name="Net Due Date" numFmtId="0">
      <sharedItems containsNonDate="0" containsDate="1" containsString="0" containsBlank="1" minDate="2021-11-16T00:00:00" maxDate="2025-04-29T00:00:00"/>
    </cacheField>
    <cacheField name="Days Past Due" numFmtId="0">
      <sharedItems containsString="0" containsBlank="1" containsNumber="1" containsInteger="1" minValue="-59" maxValue="1200"/>
    </cacheField>
    <cacheField name="Document Amount" numFmtId="0">
      <sharedItems containsString="0" containsBlank="1" containsNumber="1" minValue="-2374278.6800000006" maxValue="3424511.61"/>
    </cacheField>
    <cacheField name="Doc currency" numFmtId="0">
      <sharedItems containsBlank="1" count="3">
        <s v="CHF"/>
        <s v="EUR"/>
        <m/>
      </sharedItems>
    </cacheField>
    <cacheField name="Text" numFmtId="0">
      <sharedItems containsBlank="1"/>
    </cacheField>
    <cacheField name="Disputes Exists" numFmtId="0">
      <sharedItems containsBlank="1"/>
    </cacheField>
    <cacheField name="Overdue amt" numFmtId="0">
      <sharedItems containsBlank="1" containsMixedTypes="1" containsNumber="1" minValue="-1504962.3" maxValue="2197040.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91">
  <r>
    <x v="0"/>
    <s v="10028"/>
    <x v="0"/>
    <s v="110100098943"/>
    <s v="10002250002727"/>
    <d v="2025-02-13T00:00:00"/>
    <d v="2025-03-15T00:00:00"/>
    <n v="-15"/>
    <n v="100883.69"/>
    <x v="0"/>
    <s v=""/>
    <s v=""/>
    <s v=""/>
  </r>
  <r>
    <x v="0"/>
    <s v="10028"/>
    <x v="0"/>
    <s v="110100098944"/>
    <s v="10002250002728"/>
    <d v="2025-02-13T00:00:00"/>
    <d v="2025-03-15T00:00:00"/>
    <n v="-15"/>
    <n v="471908.45"/>
    <x v="1"/>
    <s v=""/>
    <s v=""/>
    <s v=""/>
  </r>
  <r>
    <x v="0"/>
    <s v="10028"/>
    <x v="0"/>
    <s v="110700100782"/>
    <s v="10002250002332"/>
    <d v="2025-02-05T00:00:00"/>
    <d v="2025-03-07T00:00:00"/>
    <n v="-7"/>
    <n v="32511.52"/>
    <x v="0"/>
    <s v=""/>
    <s v=""/>
    <s v=""/>
  </r>
  <r>
    <x v="0"/>
    <s v="10028"/>
    <x v="0"/>
    <s v="110900091978"/>
    <s v="10002250003310"/>
    <d v="2025-02-27T00:00:00"/>
    <d v="2025-03-29T00:00:00"/>
    <n v="-29"/>
    <n v="2374278.6800000006"/>
    <x v="1"/>
    <s v=""/>
    <s v=""/>
    <s v=""/>
  </r>
  <r>
    <x v="0"/>
    <s v="10028"/>
    <x v="0"/>
    <s v="110900092506"/>
    <s v="20002250000157"/>
    <d v="2025-02-27T00:00:00"/>
    <d v="2025-03-29T00:00:00"/>
    <n v="-29"/>
    <n v="-2374278.6800000006"/>
    <x v="1"/>
    <s v=""/>
    <s v=""/>
    <s v=""/>
  </r>
  <r>
    <x v="0"/>
    <s v="12294"/>
    <x v="1"/>
    <s v="110100089086"/>
    <s v="10002250000111"/>
    <d v="2025-01-05T00:00:00"/>
    <d v="2025-02-04T00:00:00"/>
    <n v="24"/>
    <n v="643063.05000000005"/>
    <x v="0"/>
    <s v=""/>
    <s v=""/>
    <n v="643063.05000000005"/>
  </r>
  <r>
    <x v="0"/>
    <s v="12294"/>
    <x v="1"/>
    <s v="110300089404"/>
    <s v="10002250002905"/>
    <d v="2025-02-14T00:00:00"/>
    <d v="2025-03-16T00:00:00"/>
    <n v="-16"/>
    <n v="133835.65"/>
    <x v="0"/>
    <s v=""/>
    <s v=""/>
    <s v=""/>
  </r>
  <r>
    <x v="0"/>
    <s v="12294"/>
    <x v="1"/>
    <s v="110300089405"/>
    <s v="10002250002906"/>
    <d v="2025-02-14T00:00:00"/>
    <d v="2025-03-31T00:00:00"/>
    <n v="-31"/>
    <n v="836077.87"/>
    <x v="0"/>
    <s v=""/>
    <s v=""/>
    <s v=""/>
  </r>
  <r>
    <x v="0"/>
    <s v="12294"/>
    <x v="1"/>
    <s v="110600097015"/>
    <s v="10002250003221"/>
    <d v="2025-02-24T00:00:00"/>
    <d v="2025-03-26T00:00:00"/>
    <n v="-26"/>
    <n v="130159.98"/>
    <x v="0"/>
    <s v=""/>
    <s v=""/>
    <s v=""/>
  </r>
  <r>
    <x v="0"/>
    <s v="12294"/>
    <x v="1"/>
    <s v="110600097016"/>
    <s v="10002250003222"/>
    <d v="2025-02-24T00:00:00"/>
    <d v="2025-03-26T00:00:00"/>
    <n v="-26"/>
    <n v="1822239.48"/>
    <x v="0"/>
    <s v=""/>
    <s v=""/>
    <s v=""/>
  </r>
  <r>
    <x v="0"/>
    <s v="12294"/>
    <x v="1"/>
    <s v="110700100787"/>
    <s v="10002250002337"/>
    <d v="2025-02-05T00:00:00"/>
    <d v="2025-03-07T00:00:00"/>
    <n v="-7"/>
    <n v="28629.37"/>
    <x v="0"/>
    <s v="PO angefragt 20.2."/>
    <s v=""/>
    <s v=""/>
  </r>
  <r>
    <x v="0"/>
    <s v="12294"/>
    <x v="1"/>
    <s v="110700104515"/>
    <s v="10002250002967"/>
    <d v="2025-02-16T00:00:00"/>
    <d v="2025-03-18T00:00:00"/>
    <n v="-18"/>
    <n v="3127.71"/>
    <x v="0"/>
    <s v=""/>
    <s v=""/>
    <s v=""/>
  </r>
  <r>
    <x v="0"/>
    <s v="12294"/>
    <x v="1"/>
    <s v="110900089195"/>
    <s v="10002250002630"/>
    <d v="2025-02-11T00:00:00"/>
    <d v="2025-04-12T00:00:00"/>
    <n v="-43"/>
    <n v="63191.08"/>
    <x v="0"/>
    <s v=""/>
    <s v=""/>
    <s v=""/>
  </r>
  <r>
    <x v="0"/>
    <s v="14563"/>
    <x v="2"/>
    <s v="110100098963"/>
    <s v="10002250002747"/>
    <d v="2025-02-13T00:00:00"/>
    <d v="2025-03-15T00:00:00"/>
    <n v="-15"/>
    <n v="92481.61"/>
    <x v="0"/>
    <s v=""/>
    <s v=""/>
    <s v=""/>
  </r>
  <r>
    <x v="0"/>
    <s v="14563"/>
    <x v="2"/>
    <s v="110100098964"/>
    <s v="10002250002748"/>
    <d v="2025-02-13T00:00:00"/>
    <d v="2025-03-15T00:00:00"/>
    <n v="-15"/>
    <n v="576622.81999999995"/>
    <x v="0"/>
    <s v=""/>
    <s v=""/>
    <s v=""/>
  </r>
  <r>
    <x v="0"/>
    <s v="14563"/>
    <x v="2"/>
    <s v="111000270379"/>
    <s v="20002250000128"/>
    <d v="2025-02-19T00:00:00"/>
    <d v="2025-02-19T00:00:00"/>
    <n v="9"/>
    <n v="-42169.7"/>
    <x v="0"/>
    <s v=""/>
    <s v=""/>
    <n v="-42169.7"/>
  </r>
  <r>
    <x v="0"/>
    <s v="14563"/>
    <x v="2"/>
    <s v="111000270769"/>
    <s v="10002250003094"/>
    <d v="2025-02-21T00:00:00"/>
    <d v="2025-03-23T00:00:00"/>
    <n v="-23"/>
    <n v="16215"/>
    <x v="0"/>
    <s v=""/>
    <s v=""/>
    <s v=""/>
  </r>
  <r>
    <x v="0"/>
    <s v="27271"/>
    <x v="3"/>
    <s v="110100089155"/>
    <s v="10002250000180"/>
    <d v="2025-01-05T00:00:00"/>
    <d v="2025-02-04T00:00:00"/>
    <n v="24"/>
    <n v="832843.3400000002"/>
    <x v="0"/>
    <s v=""/>
    <s v=""/>
    <n v="832843.3400000002"/>
  </r>
  <r>
    <x v="0"/>
    <s v="27271"/>
    <x v="3"/>
    <s v="110800111424"/>
    <s v="10002250002527"/>
    <d v="2025-02-07T00:00:00"/>
    <d v="2025-03-09T00:00:00"/>
    <n v="-9"/>
    <n v="15029.42"/>
    <x v="0"/>
    <s v=""/>
    <s v=""/>
    <s v=""/>
  </r>
  <r>
    <x v="0"/>
    <s v="126649"/>
    <x v="4"/>
    <s v="110700100804"/>
    <s v="10002250002354"/>
    <d v="2025-02-05T00:00:00"/>
    <d v="2025-03-07T00:00:00"/>
    <n v="-7"/>
    <n v="1845.14"/>
    <x v="0"/>
    <s v=""/>
    <s v=""/>
    <s v=""/>
  </r>
  <r>
    <x v="0"/>
    <s v="126649"/>
    <x v="4"/>
    <s v="111000260886"/>
    <s v="10002240023653"/>
    <d v="2024-12-27T00:00:00"/>
    <d v="2025-01-26T00:00:00"/>
    <n v="33"/>
    <n v="18282.400000000001"/>
    <x v="0"/>
    <s v="* Consulting to PO Number 4500953823 ; Order 45059"/>
    <s v=""/>
    <n v="18282.400000000001"/>
  </r>
  <r>
    <x v="0"/>
    <s v="126649"/>
    <x v="4"/>
    <s v="111000270132"/>
    <s v="10002250003001"/>
    <d v="2025-02-17T00:00:00"/>
    <d v="2025-03-19T00:00:00"/>
    <n v="-19"/>
    <n v="28522.2"/>
    <x v="0"/>
    <s v="* Consulting to PO Number Sabine Herbel ; Order 45"/>
    <s v=""/>
    <s v=""/>
  </r>
  <r>
    <x v="0"/>
    <s v="137586"/>
    <x v="5"/>
    <s v="110900082975"/>
    <s v="10002250002140"/>
    <d v="2025-01-31T00:00:00"/>
    <d v="2025-03-02T00:00:00"/>
    <n v="-2"/>
    <n v="25944.16"/>
    <x v="0"/>
    <s v=""/>
    <s v=""/>
    <s v=""/>
  </r>
  <r>
    <x v="0"/>
    <s v="137586"/>
    <x v="5"/>
    <s v="111000268534"/>
    <s v="10002250002290"/>
    <d v="2025-02-05T00:00:00"/>
    <d v="2025-03-07T00:00:00"/>
    <n v="-7"/>
    <n v="9419.6"/>
    <x v="0"/>
    <s v=""/>
    <s v=""/>
    <s v=""/>
  </r>
  <r>
    <x v="0"/>
    <s v="155697"/>
    <x v="6"/>
    <s v="110200086602"/>
    <s v="10002250001379"/>
    <d v="2025-01-28T00:00:00"/>
    <d v="2025-03-14T00:00:00"/>
    <n v="-14"/>
    <n v="2180.12"/>
    <x v="0"/>
    <s v=""/>
    <s v=""/>
    <s v=""/>
  </r>
  <r>
    <x v="0"/>
    <s v="155697"/>
    <x v="6"/>
    <s v="110900082976"/>
    <s v="10002250002141"/>
    <d v="2025-01-31T00:00:00"/>
    <d v="2025-03-02T00:00:00"/>
    <n v="-2"/>
    <n v="532.31999999999994"/>
    <x v="0"/>
    <s v=""/>
    <s v=""/>
    <s v=""/>
  </r>
  <r>
    <x v="0"/>
    <s v="155697"/>
    <x v="6"/>
    <s v="110900089197"/>
    <s v="10002250002632"/>
    <d v="2025-02-11T00:00:00"/>
    <d v="2025-03-13T00:00:00"/>
    <n v="-13"/>
    <n v="64456.4"/>
    <x v="0"/>
    <s v=""/>
    <s v=""/>
    <s v=""/>
  </r>
  <r>
    <x v="0"/>
    <s v="155697"/>
    <x v="6"/>
    <s v="110900089198"/>
    <s v="10002250002633"/>
    <d v="2025-02-11T00:00:00"/>
    <d v="2025-03-13T00:00:00"/>
    <n v="-13"/>
    <n v="521.75"/>
    <x v="0"/>
    <s v=""/>
    <s v=""/>
    <s v=""/>
  </r>
  <r>
    <x v="0"/>
    <s v="192333"/>
    <x v="7"/>
    <s v="110100089260"/>
    <s v="10002250000285"/>
    <d v="2025-01-05T00:00:00"/>
    <d v="2025-02-04T00:00:00"/>
    <n v="24"/>
    <n v="84605.450000000012"/>
    <x v="0"/>
    <s v=""/>
    <s v=""/>
    <n v="84605.450000000012"/>
  </r>
  <r>
    <x v="0"/>
    <s v="192333"/>
    <x v="7"/>
    <s v="110200086624"/>
    <s v="10002250001401"/>
    <d v="2025-01-28T00:00:00"/>
    <d v="2025-02-27T00:00:00"/>
    <n v="1"/>
    <n v="294397.09000000003"/>
    <x v="0"/>
    <s v=""/>
    <s v=""/>
    <n v="294397.09000000003"/>
  </r>
  <r>
    <x v="0"/>
    <s v="192333"/>
    <x v="7"/>
    <s v="110200086625"/>
    <s v="10002250001402"/>
    <d v="2025-01-28T00:00:00"/>
    <d v="2025-02-27T00:00:00"/>
    <n v="1"/>
    <n v="9577.61"/>
    <x v="0"/>
    <s v=""/>
    <s v=""/>
    <n v="9577.61"/>
  </r>
  <r>
    <x v="0"/>
    <s v="192333"/>
    <x v="7"/>
    <s v="110200086626"/>
    <s v="10002250001403"/>
    <d v="2025-01-28T00:00:00"/>
    <d v="2025-02-27T00:00:00"/>
    <n v="1"/>
    <n v="15980.85"/>
    <x v="0"/>
    <s v=""/>
    <s v=""/>
    <n v="15980.85"/>
  </r>
  <r>
    <x v="0"/>
    <s v="249621"/>
    <x v="8"/>
    <s v="110100089303"/>
    <s v="10002250000328"/>
    <d v="2025-01-05T00:00:00"/>
    <d v="2025-02-04T00:00:00"/>
    <n v="24"/>
    <n v="408.78"/>
    <x v="0"/>
    <s v=""/>
    <s v=""/>
    <n v="408.78"/>
  </r>
  <r>
    <x v="0"/>
    <s v="249621"/>
    <x v="8"/>
    <s v="110200086706"/>
    <s v="10002250001483"/>
    <d v="2025-01-28T00:00:00"/>
    <d v="2025-02-27T00:00:00"/>
    <n v="1"/>
    <n v="17317.150000000001"/>
    <x v="0"/>
    <s v=""/>
    <s v=""/>
    <n v="17317.150000000001"/>
  </r>
  <r>
    <x v="0"/>
    <s v="249621"/>
    <x v="8"/>
    <s v="110200086707"/>
    <s v="10002250001484"/>
    <d v="2025-01-28T00:00:00"/>
    <d v="2025-02-27T00:00:00"/>
    <n v="1"/>
    <n v="23887.59"/>
    <x v="0"/>
    <s v=""/>
    <s v=""/>
    <n v="23887.59"/>
  </r>
  <r>
    <x v="0"/>
    <s v="347244"/>
    <x v="9"/>
    <s v="110100083909"/>
    <s v="10002240021874"/>
    <d v="2024-12-05T00:00:00"/>
    <d v="2025-01-04T00:00:00"/>
    <n v="55"/>
    <n v="4690.03"/>
    <x v="0"/>
    <s v="13/12 von knd im internen Klärung"/>
    <s v=""/>
    <n v="4690.03"/>
  </r>
  <r>
    <x v="0"/>
    <s v="347244"/>
    <x v="9"/>
    <s v="110100083910"/>
    <s v="10002240021875"/>
    <d v="2024-12-05T00:00:00"/>
    <d v="2025-01-04T00:00:00"/>
    <n v="55"/>
    <n v="14368.06"/>
    <x v="0"/>
    <s v="13/12 von knd im internen Klärung"/>
    <s v=""/>
    <n v="14368.06"/>
  </r>
  <r>
    <x v="0"/>
    <s v="347244"/>
    <x v="9"/>
    <s v="110100083911"/>
    <s v="10002240021876"/>
    <d v="2024-12-05T00:00:00"/>
    <d v="2025-01-04T00:00:00"/>
    <n v="55"/>
    <n v="1133471.93"/>
    <x v="0"/>
    <s v="under clarification - purchasing dep, remind 13.2."/>
    <s v=""/>
    <n v="1133471.93"/>
  </r>
  <r>
    <x v="0"/>
    <s v="347244"/>
    <x v="9"/>
    <s v="110100083912"/>
    <s v="10002240021877"/>
    <d v="2024-12-05T00:00:00"/>
    <d v="2025-01-04T00:00:00"/>
    <n v="55"/>
    <n v="1016009.2000000001"/>
    <x v="0"/>
    <s v="under clarification - purchasing dep, remind 13.2."/>
    <s v=""/>
    <n v="1016009.2000000001"/>
  </r>
  <r>
    <x v="0"/>
    <s v="347244"/>
    <x v="9"/>
    <s v="110200086727"/>
    <s v="10002250001504"/>
    <d v="2025-01-28T00:00:00"/>
    <d v="2025-02-27T00:00:00"/>
    <n v="1"/>
    <n v="211438.72"/>
    <x v="0"/>
    <s v=""/>
    <s v=""/>
    <n v="211438.72"/>
  </r>
  <r>
    <x v="0"/>
    <s v="500709"/>
    <x v="10"/>
    <s v="110100099037"/>
    <s v="10002250002821"/>
    <d v="2025-02-13T00:00:00"/>
    <d v="2025-03-15T00:00:00"/>
    <n v="-15"/>
    <n v="44324.87"/>
    <x v="0"/>
    <s v=""/>
    <s v=""/>
    <s v=""/>
  </r>
  <r>
    <x v="0"/>
    <s v="500709"/>
    <x v="10"/>
    <s v="110100099038"/>
    <s v="10002250002822"/>
    <d v="2025-02-13T00:00:00"/>
    <d v="2025-03-15T00:00:00"/>
    <n v="-15"/>
    <n v="480.71"/>
    <x v="0"/>
    <s v=""/>
    <s v=""/>
    <s v=""/>
  </r>
  <r>
    <x v="0"/>
    <s v="520825"/>
    <x v="6"/>
    <s v="8007057027"/>
    <s v=""/>
    <d v="2025-02-24T00:00:00"/>
    <d v="2025-02-24T00:00:00"/>
    <n v="4"/>
    <n v="-4534.8900000000003"/>
    <x v="0"/>
    <s v=""/>
    <s v=""/>
    <n v="-4534.8900000000003"/>
  </r>
  <r>
    <x v="0"/>
    <s v="520825"/>
    <x v="6"/>
    <s v="110100099042"/>
    <s v="10002250002826"/>
    <d v="2025-02-13T00:00:00"/>
    <d v="2025-03-15T00:00:00"/>
    <n v="-15"/>
    <n v="29853.919999999998"/>
    <x v="0"/>
    <s v=""/>
    <s v=""/>
    <s v=""/>
  </r>
  <r>
    <x v="0"/>
    <s v="520825"/>
    <x v="6"/>
    <s v="110100099043"/>
    <s v="10002250002827"/>
    <d v="2025-02-13T00:00:00"/>
    <d v="2025-03-15T00:00:00"/>
    <n v="-15"/>
    <n v="94.59"/>
    <x v="0"/>
    <s v=""/>
    <s v=""/>
    <s v=""/>
  </r>
  <r>
    <x v="0"/>
    <s v="520825"/>
    <x v="6"/>
    <s v="110100099044"/>
    <s v="10002250002828"/>
    <d v="2025-02-13T00:00:00"/>
    <d v="2025-03-15T00:00:00"/>
    <n v="-15"/>
    <n v="935.42"/>
    <x v="0"/>
    <s v=""/>
    <s v="X"/>
    <s v=""/>
  </r>
  <r>
    <x v="0"/>
    <s v="520825"/>
    <x v="6"/>
    <s v="110200086743"/>
    <s v="10002250001520"/>
    <d v="2025-01-28T00:00:00"/>
    <d v="2025-02-27T00:00:00"/>
    <n v="1"/>
    <n v="21221.62"/>
    <x v="0"/>
    <s v=""/>
    <s v="X"/>
    <n v="21221.62"/>
  </r>
  <r>
    <x v="0"/>
    <s v="520825"/>
    <x v="6"/>
    <s v="110200086748"/>
    <s v="10002250001525"/>
    <d v="2025-01-28T00:00:00"/>
    <d v="2025-03-14T00:00:00"/>
    <n v="-14"/>
    <n v="16851.060000000001"/>
    <x v="0"/>
    <s v=""/>
    <s v=""/>
    <s v=""/>
  </r>
  <r>
    <x v="0"/>
    <s v="520825"/>
    <x v="6"/>
    <s v="110200086757"/>
    <s v="10002250001534"/>
    <d v="2025-01-28T00:00:00"/>
    <d v="2025-03-29T00:00:00"/>
    <n v="-29"/>
    <n v="2366.7399999999998"/>
    <x v="0"/>
    <s v=""/>
    <s v=""/>
    <s v=""/>
  </r>
  <r>
    <x v="0"/>
    <s v="520825"/>
    <x v="6"/>
    <s v="110200086763"/>
    <s v="10002250001540"/>
    <d v="2025-01-28T00:00:00"/>
    <d v="2025-02-27T00:00:00"/>
    <n v="1"/>
    <n v="292.04000000000002"/>
    <x v="0"/>
    <s v=""/>
    <s v="X"/>
    <n v="292.04000000000002"/>
  </r>
  <r>
    <x v="0"/>
    <s v="520825"/>
    <x v="6"/>
    <s v="110200086766"/>
    <s v="10002250001543"/>
    <d v="2025-01-28T00:00:00"/>
    <d v="2025-03-14T00:00:00"/>
    <n v="-14"/>
    <n v="22400.21"/>
    <x v="0"/>
    <s v=""/>
    <s v=""/>
    <s v=""/>
  </r>
  <r>
    <x v="0"/>
    <s v="520825"/>
    <x v="6"/>
    <s v="110200086769"/>
    <s v="10002250001546"/>
    <d v="2025-01-28T00:00:00"/>
    <d v="2025-02-11T00:00:00"/>
    <n v="17"/>
    <n v="1565.55"/>
    <x v="0"/>
    <s v=""/>
    <s v=""/>
    <n v="1565.55"/>
  </r>
  <r>
    <x v="0"/>
    <s v="520825"/>
    <x v="6"/>
    <s v="110200086794"/>
    <s v="10002250001571"/>
    <d v="2025-01-28T00:00:00"/>
    <d v="2025-03-14T00:00:00"/>
    <n v="-14"/>
    <n v="9788.81"/>
    <x v="0"/>
    <s v=""/>
    <s v=""/>
    <s v=""/>
  </r>
  <r>
    <x v="0"/>
    <s v="520825"/>
    <x v="6"/>
    <s v="110200086797"/>
    <s v="10002250001574"/>
    <d v="2025-01-28T00:00:00"/>
    <d v="2025-03-14T00:00:00"/>
    <n v="-14"/>
    <n v="3766.06"/>
    <x v="0"/>
    <s v=""/>
    <s v=""/>
    <s v=""/>
  </r>
  <r>
    <x v="0"/>
    <s v="520825"/>
    <x v="6"/>
    <s v="110200086801"/>
    <s v="10002250001578"/>
    <d v="2025-01-28T00:00:00"/>
    <d v="2025-03-14T00:00:00"/>
    <n v="-14"/>
    <n v="4534.8900000000003"/>
    <x v="0"/>
    <s v=""/>
    <s v=""/>
    <s v=""/>
  </r>
  <r>
    <x v="0"/>
    <s v="520825"/>
    <x v="6"/>
    <s v="110200086804"/>
    <s v="10002250001581"/>
    <d v="2025-01-28T00:00:00"/>
    <d v="2025-03-29T00:00:00"/>
    <n v="-29"/>
    <n v="39589.040000000001"/>
    <x v="0"/>
    <s v=""/>
    <s v=""/>
    <s v=""/>
  </r>
  <r>
    <x v="0"/>
    <s v="520825"/>
    <x v="6"/>
    <s v="110200086805"/>
    <s v="10002250001582"/>
    <d v="2025-01-28T00:00:00"/>
    <d v="2025-03-29T00:00:00"/>
    <n v="-29"/>
    <n v="9820.5300000000007"/>
    <x v="0"/>
    <s v=""/>
    <s v=""/>
    <s v=""/>
  </r>
  <r>
    <x v="0"/>
    <s v="520825"/>
    <x v="6"/>
    <s v="110200086806"/>
    <s v="10002250001583"/>
    <d v="2025-01-28T00:00:00"/>
    <d v="2025-03-29T00:00:00"/>
    <n v="-29"/>
    <n v="1807.51"/>
    <x v="0"/>
    <s v=""/>
    <s v=""/>
    <s v=""/>
  </r>
  <r>
    <x v="0"/>
    <s v="520825"/>
    <x v="6"/>
    <s v="110600097028"/>
    <s v="10002250003234"/>
    <d v="2025-02-24T00:00:00"/>
    <d v="2025-03-26T00:00:00"/>
    <n v="-26"/>
    <n v="5134.75"/>
    <x v="0"/>
    <s v="0111492370_001_001/E71855778/0025805569"/>
    <s v=""/>
    <s v=""/>
  </r>
  <r>
    <x v="0"/>
    <s v="520825"/>
    <x v="6"/>
    <s v="110800110984"/>
    <s v="10002250002475"/>
    <d v="2025-02-06T00:00:00"/>
    <d v="2025-03-08T00:00:00"/>
    <n v="-8"/>
    <n v="15942.17"/>
    <x v="0"/>
    <s v=""/>
    <s v=""/>
    <s v=""/>
  </r>
  <r>
    <x v="0"/>
    <s v="520825"/>
    <x v="6"/>
    <s v="110900089215"/>
    <s v="10002250002650"/>
    <d v="2025-02-11T00:00:00"/>
    <d v="2025-03-13T00:00:00"/>
    <n v="-13"/>
    <n v="38815.32"/>
    <x v="0"/>
    <s v=""/>
    <s v=""/>
    <s v=""/>
  </r>
  <r>
    <x v="0"/>
    <s v="520825"/>
    <x v="6"/>
    <s v="111000268914"/>
    <s v="10002250002484"/>
    <d v="2025-02-07T00:00:00"/>
    <d v="2025-03-09T00:00:00"/>
    <n v="-9"/>
    <n v="151.35"/>
    <x v="0"/>
    <s v="*Integration Modernization Summit"/>
    <s v=""/>
    <s v=""/>
  </r>
  <r>
    <x v="0"/>
    <s v="520825"/>
    <x v="6"/>
    <s v="111000268915"/>
    <s v="10002250002486"/>
    <d v="2025-02-07T00:00:00"/>
    <d v="2025-03-09T00:00:00"/>
    <n v="-9"/>
    <n v="151.35"/>
    <x v="0"/>
    <s v="*Integration Modernization Summit"/>
    <s v=""/>
    <s v=""/>
  </r>
  <r>
    <x v="0"/>
    <s v="520825"/>
    <x v="6"/>
    <s v="111000271337"/>
    <s v="10002250003284"/>
    <d v="2025-02-26T00:00:00"/>
    <d v="2025-03-28T00:00:00"/>
    <n v="-28"/>
    <n v="32483.33"/>
    <x v="0"/>
    <s v=""/>
    <s v=""/>
    <s v=""/>
  </r>
  <r>
    <x v="0"/>
    <s v="629141"/>
    <x v="11"/>
    <s v="110200080315"/>
    <s v="10002240023581"/>
    <d v="2024-12-23T00:00:00"/>
    <d v="2025-01-22T00:00:00"/>
    <n v="37"/>
    <n v="4107.8"/>
    <x v="0"/>
    <s v="0111383486_001_001/E71786046/0024405311"/>
    <s v=""/>
    <n v="4107.8"/>
  </r>
  <r>
    <x v="0"/>
    <s v="629141"/>
    <x v="11"/>
    <s v="110400093454"/>
    <s v="10002240020487"/>
    <d v="2024-11-27T00:00:00"/>
    <d v="2024-12-27T00:00:00"/>
    <n v="63"/>
    <n v="2053.9"/>
    <x v="0"/>
    <s v="0111445451_001_001/E71784336/0024405311"/>
    <s v=""/>
    <n v="2053.9"/>
  </r>
  <r>
    <x v="0"/>
    <s v="673914"/>
    <x v="12"/>
    <s v="110100099050"/>
    <s v="10002250002834"/>
    <d v="2025-02-13T00:00:00"/>
    <d v="2025-03-15T00:00:00"/>
    <n v="-15"/>
    <n v="292307.31"/>
    <x v="0"/>
    <s v=""/>
    <s v=""/>
    <s v=""/>
  </r>
  <r>
    <x v="0"/>
    <s v="673914"/>
    <x v="12"/>
    <s v="110700100854"/>
    <s v="10002250002404"/>
    <d v="2025-02-05T00:00:00"/>
    <d v="2025-03-07T00:00:00"/>
    <n v="-7"/>
    <n v="3814.92"/>
    <x v="0"/>
    <s v=""/>
    <s v=""/>
    <s v=""/>
  </r>
  <r>
    <x v="0"/>
    <s v="697436"/>
    <x v="13"/>
    <s v="8001054904"/>
    <s v=""/>
    <d v="2025-02-10T00:00:00"/>
    <d v="2025-02-10T00:00:00"/>
    <n v="18"/>
    <n v="-16604.16"/>
    <x v="0"/>
    <s v=""/>
    <s v=""/>
    <n v="-16604.16"/>
  </r>
  <r>
    <x v="0"/>
    <s v="697436"/>
    <x v="13"/>
    <s v="8002045836"/>
    <s v=""/>
    <d v="2024-11-12T00:00:00"/>
    <d v="2024-11-12T00:00:00"/>
    <n v="108"/>
    <n v="-530.75"/>
    <x v="0"/>
    <s v=""/>
    <s v=""/>
    <n v="-530.75"/>
  </r>
  <r>
    <x v="0"/>
    <s v="697436"/>
    <x v="13"/>
    <s v="8002047356"/>
    <s v=""/>
    <d v="2024-12-10T00:00:00"/>
    <d v="2024-12-10T00:00:00"/>
    <n v="80"/>
    <n v="-211.9"/>
    <x v="0"/>
    <s v=""/>
    <s v=""/>
    <n v="-211.9"/>
  </r>
  <r>
    <x v="0"/>
    <s v="697436"/>
    <x v="13"/>
    <s v="8002047357"/>
    <s v=""/>
    <d v="2024-12-10T00:00:00"/>
    <d v="2024-12-10T00:00:00"/>
    <n v="80"/>
    <n v="-211.9"/>
    <x v="0"/>
    <s v=""/>
    <s v=""/>
    <n v="-211.9"/>
  </r>
  <r>
    <x v="0"/>
    <s v="697436"/>
    <x v="13"/>
    <s v="8006051312"/>
    <s v=""/>
    <d v="2024-10-15T00:00:00"/>
    <d v="2024-10-15T00:00:00"/>
    <n v="136"/>
    <n v="-843.85"/>
    <x v="0"/>
    <s v="pay to 10002240001893,can 30002240000725,mail 4.11"/>
    <s v=""/>
    <n v="-843.85"/>
  </r>
  <r>
    <x v="0"/>
    <s v="697436"/>
    <x v="13"/>
    <s v="8007037274"/>
    <s v=""/>
    <d v="2024-03-06T00:00:00"/>
    <d v="2024-03-06T00:00:00"/>
    <n v="359"/>
    <n v="-622.65"/>
    <x v="0"/>
    <s v="17/9 knw wurd gefrgt"/>
    <s v=""/>
    <n v="-622.65"/>
  </r>
  <r>
    <x v="0"/>
    <s v="697436"/>
    <x v="13"/>
    <s v="110000107184"/>
    <s v="10002240023879"/>
    <d v="2024-12-30T00:00:00"/>
    <d v="2025-01-29T00:00:00"/>
    <n v="30"/>
    <n v="2783.58"/>
    <x v="0"/>
    <s v=""/>
    <s v=""/>
    <n v="2783.58"/>
  </r>
  <r>
    <x v="0"/>
    <s v="697436"/>
    <x v="13"/>
    <s v="110100095187"/>
    <s v="10002250002057"/>
    <d v="2025-01-30T00:00:00"/>
    <d v="2025-03-01T00:00:00"/>
    <n v="-1"/>
    <n v="6724.0400000000009"/>
    <x v="0"/>
    <s v=""/>
    <s v=""/>
    <s v=""/>
  </r>
  <r>
    <x v="0"/>
    <s v="697436"/>
    <x v="13"/>
    <s v="110200086808"/>
    <s v="10002250001585"/>
    <d v="2025-01-28T00:00:00"/>
    <d v="2025-02-27T00:00:00"/>
    <n v="1"/>
    <n v="47049.93"/>
    <x v="0"/>
    <s v=""/>
    <s v=""/>
    <n v="47049.93"/>
  </r>
  <r>
    <x v="0"/>
    <s v="697436"/>
    <x v="13"/>
    <s v="110200086809"/>
    <s v="10002250001586"/>
    <d v="2025-01-28T00:00:00"/>
    <d v="2025-02-27T00:00:00"/>
    <n v="1"/>
    <n v="48702.67"/>
    <x v="0"/>
    <s v=""/>
    <s v=""/>
    <n v="48702.67"/>
  </r>
  <r>
    <x v="0"/>
    <s v="697436"/>
    <x v="13"/>
    <s v="110200086810"/>
    <s v="10002250001587"/>
    <d v="2025-01-28T00:00:00"/>
    <d v="2025-02-27T00:00:00"/>
    <n v="1"/>
    <n v="5231.6899999999996"/>
    <x v="0"/>
    <s v=""/>
    <s v=""/>
    <n v="5231.6899999999996"/>
  </r>
  <r>
    <x v="0"/>
    <s v="697436"/>
    <x v="13"/>
    <s v="110200086811"/>
    <s v="10002250001588"/>
    <d v="2025-01-28T00:00:00"/>
    <d v="2025-02-27T00:00:00"/>
    <n v="1"/>
    <n v="1294.3599999999999"/>
    <x v="0"/>
    <s v=""/>
    <s v=""/>
    <n v="1294.3599999999999"/>
  </r>
  <r>
    <x v="0"/>
    <s v="697436"/>
    <x v="13"/>
    <s v="110200086812"/>
    <s v="10002250001589"/>
    <d v="2025-01-28T00:00:00"/>
    <d v="2025-02-27T00:00:00"/>
    <n v="1"/>
    <n v="9938.92"/>
    <x v="0"/>
    <s v=""/>
    <s v=""/>
    <n v="9938.92"/>
  </r>
  <r>
    <x v="0"/>
    <s v="697436"/>
    <x v="13"/>
    <s v="110200086813"/>
    <s v="10002250001590"/>
    <d v="2025-01-28T00:00:00"/>
    <d v="2025-02-27T00:00:00"/>
    <n v="1"/>
    <n v="5154.13"/>
    <x v="0"/>
    <s v=""/>
    <s v=""/>
    <n v="5154.13"/>
  </r>
  <r>
    <x v="0"/>
    <s v="697436"/>
    <x v="13"/>
    <s v="110200086814"/>
    <s v="10002250001591"/>
    <d v="2025-01-28T00:00:00"/>
    <d v="2025-02-27T00:00:00"/>
    <n v="1"/>
    <n v="151939.97"/>
    <x v="0"/>
    <s v=""/>
    <s v=""/>
    <n v="151939.97"/>
  </r>
  <r>
    <x v="0"/>
    <s v="697436"/>
    <x v="13"/>
    <s v="110200086816"/>
    <s v="10002250001593"/>
    <d v="2025-01-28T00:00:00"/>
    <d v="2025-02-27T00:00:00"/>
    <n v="1"/>
    <n v="27413.18"/>
    <x v="0"/>
    <s v=""/>
    <s v=""/>
    <n v="27413.18"/>
  </r>
  <r>
    <x v="0"/>
    <s v="697436"/>
    <x v="13"/>
    <s v="110200086817"/>
    <s v="10002250001594"/>
    <d v="2025-01-28T00:00:00"/>
    <d v="2025-02-27T00:00:00"/>
    <n v="1"/>
    <n v="1080.8599999999999"/>
    <x v="0"/>
    <s v=""/>
    <s v=""/>
    <n v="1080.8599999999999"/>
  </r>
  <r>
    <x v="0"/>
    <s v="697436"/>
    <x v="13"/>
    <s v="110200086818"/>
    <s v="10002250001595"/>
    <d v="2025-01-28T00:00:00"/>
    <d v="2025-02-27T00:00:00"/>
    <n v="1"/>
    <n v="4837.0600000000004"/>
    <x v="0"/>
    <s v=""/>
    <s v=""/>
    <n v="4837.0600000000004"/>
  </r>
  <r>
    <x v="0"/>
    <s v="697436"/>
    <x v="13"/>
    <s v="110200086819"/>
    <s v="10002250001596"/>
    <d v="2025-01-28T00:00:00"/>
    <d v="2025-02-27T00:00:00"/>
    <n v="1"/>
    <n v="6169.26"/>
    <x v="0"/>
    <s v=""/>
    <s v=""/>
    <n v="6169.26"/>
  </r>
  <r>
    <x v="0"/>
    <s v="697436"/>
    <x v="13"/>
    <s v="110200086820"/>
    <s v="10002250001597"/>
    <d v="2025-01-28T00:00:00"/>
    <d v="2025-02-27T00:00:00"/>
    <n v="1"/>
    <n v="493.31"/>
    <x v="0"/>
    <s v=""/>
    <s v=""/>
    <n v="493.31"/>
  </r>
  <r>
    <x v="0"/>
    <s v="697436"/>
    <x v="13"/>
    <s v="110200086822"/>
    <s v="10002250001599"/>
    <d v="2025-01-28T00:00:00"/>
    <d v="2025-02-27T00:00:00"/>
    <n v="1"/>
    <n v="1972.2"/>
    <x v="0"/>
    <s v=""/>
    <s v=""/>
    <n v="1972.2"/>
  </r>
  <r>
    <x v="0"/>
    <s v="697436"/>
    <x v="13"/>
    <s v="110200086823"/>
    <s v="10002250001600"/>
    <d v="2025-01-28T00:00:00"/>
    <d v="2025-02-27T00:00:00"/>
    <n v="1"/>
    <n v="1702.67"/>
    <x v="0"/>
    <s v=""/>
    <s v=""/>
    <n v="1702.67"/>
  </r>
  <r>
    <x v="0"/>
    <s v="697436"/>
    <x v="13"/>
    <s v="110200086825"/>
    <s v="10002250001602"/>
    <d v="2025-01-28T00:00:00"/>
    <d v="2025-02-27T00:00:00"/>
    <n v="1"/>
    <n v="748.75"/>
    <x v="0"/>
    <s v=""/>
    <s v=""/>
    <n v="748.75"/>
  </r>
  <r>
    <x v="0"/>
    <s v="697436"/>
    <x v="13"/>
    <s v="110200086826"/>
    <s v="10002250001603"/>
    <d v="2025-01-28T00:00:00"/>
    <d v="2025-02-27T00:00:00"/>
    <n v="1"/>
    <n v="748.75"/>
    <x v="0"/>
    <s v=""/>
    <s v=""/>
    <n v="748.75"/>
  </r>
  <r>
    <x v="0"/>
    <s v="697436"/>
    <x v="13"/>
    <s v="110200086827"/>
    <s v="10002250001604"/>
    <d v="2025-01-28T00:00:00"/>
    <d v="2025-02-27T00:00:00"/>
    <n v="1"/>
    <n v="57.43"/>
    <x v="0"/>
    <s v=""/>
    <s v=""/>
    <n v="57.43"/>
  </r>
  <r>
    <x v="0"/>
    <s v="697436"/>
    <x v="13"/>
    <s v="110200086828"/>
    <s v="10002250001605"/>
    <d v="2025-01-28T00:00:00"/>
    <d v="2025-02-27T00:00:00"/>
    <n v="1"/>
    <n v="124.52"/>
    <x v="0"/>
    <s v=""/>
    <s v=""/>
    <n v="124.52"/>
  </r>
  <r>
    <x v="0"/>
    <s v="697436"/>
    <x v="13"/>
    <s v="110200086829"/>
    <s v="10002250001606"/>
    <d v="2025-01-28T00:00:00"/>
    <d v="2025-02-27T00:00:00"/>
    <n v="1"/>
    <n v="593.92999999999995"/>
    <x v="0"/>
    <s v=""/>
    <s v=""/>
    <n v="593.92999999999995"/>
  </r>
  <r>
    <x v="0"/>
    <s v="697436"/>
    <x v="13"/>
    <s v="110200086830"/>
    <s v="10002250001607"/>
    <d v="2025-01-28T00:00:00"/>
    <d v="2025-02-27T00:00:00"/>
    <n v="1"/>
    <n v="9937.24"/>
    <x v="0"/>
    <s v=""/>
    <s v=""/>
    <n v="9937.24"/>
  </r>
  <r>
    <x v="0"/>
    <s v="697436"/>
    <x v="13"/>
    <s v="110200086831"/>
    <s v="10002250001608"/>
    <d v="2025-01-28T00:00:00"/>
    <d v="2025-02-27T00:00:00"/>
    <n v="1"/>
    <n v="7511.66"/>
    <x v="0"/>
    <s v=""/>
    <s v=""/>
    <n v="7511.66"/>
  </r>
  <r>
    <x v="0"/>
    <s v="697436"/>
    <x v="13"/>
    <s v="110200086832"/>
    <s v="10002250001609"/>
    <d v="2025-01-28T00:00:00"/>
    <d v="2025-02-27T00:00:00"/>
    <n v="1"/>
    <n v="908.57"/>
    <x v="0"/>
    <s v=""/>
    <s v=""/>
    <n v="908.57"/>
  </r>
  <r>
    <x v="0"/>
    <s v="697436"/>
    <x v="13"/>
    <s v="110200086833"/>
    <s v="10002250001610"/>
    <d v="2025-01-28T00:00:00"/>
    <d v="2025-02-27T00:00:00"/>
    <n v="1"/>
    <n v="45.9"/>
    <x v="0"/>
    <s v=""/>
    <s v=""/>
    <n v="45.9"/>
  </r>
  <r>
    <x v="0"/>
    <s v="697436"/>
    <x v="13"/>
    <s v="110200086834"/>
    <s v="10002250001611"/>
    <d v="2025-01-28T00:00:00"/>
    <d v="2025-02-27T00:00:00"/>
    <n v="1"/>
    <n v="5904.38"/>
    <x v="0"/>
    <s v=""/>
    <s v=""/>
    <n v="5904.38"/>
  </r>
  <r>
    <x v="0"/>
    <s v="697436"/>
    <x v="13"/>
    <s v="110200086835"/>
    <s v="10002250001612"/>
    <d v="2025-01-28T00:00:00"/>
    <d v="2025-02-27T00:00:00"/>
    <n v="1"/>
    <n v="121.17"/>
    <x v="0"/>
    <s v=""/>
    <s v=""/>
    <n v="121.17"/>
  </r>
  <r>
    <x v="0"/>
    <s v="697436"/>
    <x v="13"/>
    <s v="110300037107"/>
    <s v="10002230009519"/>
    <d v="2023-05-26T00:00:00"/>
    <d v="2023-06-25T00:00:00"/>
    <n v="614"/>
    <n v="2261.6999999999998"/>
    <x v="0"/>
    <s v="PDF copy sent to @ compta &amp; Christophe Coulant"/>
    <s v=""/>
    <n v="2261.6999999999998"/>
  </r>
  <r>
    <x v="0"/>
    <s v="697436"/>
    <x v="13"/>
    <s v="110300089429"/>
    <s v="10002250002930"/>
    <d v="2025-02-14T00:00:00"/>
    <d v="2025-03-16T00:00:00"/>
    <n v="-16"/>
    <n v="366102.52999999997"/>
    <x v="0"/>
    <s v=""/>
    <s v=""/>
    <s v=""/>
  </r>
  <r>
    <x v="0"/>
    <s v="697436"/>
    <x v="13"/>
    <s v="110500089648"/>
    <s v="10002240024034"/>
    <d v="2024-12-31T00:00:00"/>
    <d v="2025-01-30T00:00:00"/>
    <n v="29"/>
    <n v="534.65"/>
    <x v="0"/>
    <s v=""/>
    <s v=""/>
    <n v="534.65"/>
  </r>
  <r>
    <x v="0"/>
    <s v="697436"/>
    <x v="13"/>
    <s v="110500096788"/>
    <s v="10002250003290"/>
    <d v="2025-02-26T00:00:00"/>
    <d v="2025-03-28T00:00:00"/>
    <n v="-28"/>
    <n v="2402.0700000000002"/>
    <x v="0"/>
    <s v=""/>
    <s v=""/>
    <s v=""/>
  </r>
  <r>
    <x v="0"/>
    <s v="697436"/>
    <x v="13"/>
    <s v="110600096080"/>
    <s v="10002250003007"/>
    <d v="2025-02-17T00:00:00"/>
    <d v="2025-03-19T00:00:00"/>
    <n v="-19"/>
    <n v="67754.12"/>
    <x v="0"/>
    <s v=""/>
    <s v=""/>
    <s v=""/>
  </r>
  <r>
    <x v="0"/>
    <s v="697436"/>
    <x v="13"/>
    <s v="110700104469"/>
    <s v="10002250003006"/>
    <d v="2025-02-17T00:00:00"/>
    <d v="2025-03-19T00:00:00"/>
    <n v="-19"/>
    <n v="107190.23"/>
    <x v="0"/>
    <s v=""/>
    <s v=""/>
    <s v=""/>
  </r>
  <r>
    <x v="0"/>
    <s v="697436"/>
    <x v="13"/>
    <s v="110900089216"/>
    <s v="10002250002651"/>
    <d v="2025-02-11T00:00:00"/>
    <d v="2025-03-13T00:00:00"/>
    <n v="-13"/>
    <n v="19624.39"/>
    <x v="0"/>
    <s v=""/>
    <s v=""/>
    <s v=""/>
  </r>
  <r>
    <x v="0"/>
    <s v="697436"/>
    <x v="13"/>
    <s v="110900089217"/>
    <s v="10002250002652"/>
    <d v="2025-02-11T00:00:00"/>
    <d v="2025-03-13T00:00:00"/>
    <n v="-13"/>
    <n v="1472.71"/>
    <x v="0"/>
    <s v=""/>
    <s v=""/>
    <s v=""/>
  </r>
  <r>
    <x v="0"/>
    <s v="697436"/>
    <x v="13"/>
    <s v="110900089218"/>
    <s v="10002250002653"/>
    <d v="2025-02-11T00:00:00"/>
    <d v="2025-03-13T00:00:00"/>
    <n v="-13"/>
    <n v="334.28"/>
    <x v="0"/>
    <s v=""/>
    <s v=""/>
    <s v=""/>
  </r>
  <r>
    <x v="0"/>
    <s v="697436"/>
    <x v="13"/>
    <s v="110900089219"/>
    <s v="10002250002654"/>
    <d v="2025-02-11T00:00:00"/>
    <d v="2025-03-13T00:00:00"/>
    <n v="-13"/>
    <n v="1046.24"/>
    <x v="0"/>
    <s v=""/>
    <s v=""/>
    <s v=""/>
  </r>
  <r>
    <x v="0"/>
    <s v="697436"/>
    <x v="13"/>
    <s v="110900089220"/>
    <s v="10002250002655"/>
    <d v="2025-02-11T00:00:00"/>
    <d v="2025-03-13T00:00:00"/>
    <n v="-13"/>
    <n v="11390.82"/>
    <x v="0"/>
    <s v=""/>
    <s v=""/>
    <s v=""/>
  </r>
  <r>
    <x v="0"/>
    <s v="697436"/>
    <x v="13"/>
    <s v="110900089221"/>
    <s v="10002250002656"/>
    <d v="2025-02-11T00:00:00"/>
    <d v="2025-03-13T00:00:00"/>
    <n v="-13"/>
    <n v="11419.46"/>
    <x v="0"/>
    <s v=""/>
    <s v=""/>
    <s v=""/>
  </r>
  <r>
    <x v="0"/>
    <s v="697436"/>
    <x v="13"/>
    <s v="110900089222"/>
    <s v="10002250002657"/>
    <d v="2025-02-11T00:00:00"/>
    <d v="2025-03-13T00:00:00"/>
    <n v="-13"/>
    <n v="14247.17"/>
    <x v="0"/>
    <s v=""/>
    <s v=""/>
    <s v=""/>
  </r>
  <r>
    <x v="0"/>
    <s v="697436"/>
    <x v="13"/>
    <s v="110900089223"/>
    <s v="10002250002658"/>
    <d v="2025-02-11T00:00:00"/>
    <d v="2025-03-13T00:00:00"/>
    <n v="-13"/>
    <n v="11389.81"/>
    <x v="0"/>
    <s v=""/>
    <s v=""/>
    <s v=""/>
  </r>
  <r>
    <x v="0"/>
    <s v="697436"/>
    <x v="13"/>
    <s v="110900089224"/>
    <s v="10002250002659"/>
    <d v="2025-02-11T00:00:00"/>
    <d v="2025-03-13T00:00:00"/>
    <n v="-13"/>
    <n v="2069.06"/>
    <x v="0"/>
    <s v=""/>
    <s v=""/>
    <s v=""/>
  </r>
  <r>
    <x v="0"/>
    <s v="697436"/>
    <x v="13"/>
    <s v="111000245224"/>
    <s v="10002240017171"/>
    <d v="2024-10-07T00:00:00"/>
    <d v="2024-11-06T00:00:00"/>
    <n v="114"/>
    <n v="703.2"/>
    <x v="0"/>
    <s v=""/>
    <s v=""/>
    <n v="703.2"/>
  </r>
  <r>
    <x v="0"/>
    <s v="697436"/>
    <x v="13"/>
    <s v="111000261432"/>
    <s v="10002240023709"/>
    <d v="2024-12-30T00:00:00"/>
    <d v="2025-01-29T00:00:00"/>
    <n v="30"/>
    <n v="16604.16"/>
    <x v="0"/>
    <s v=""/>
    <s v=""/>
    <n v="16604.16"/>
  </r>
  <r>
    <x v="0"/>
    <s v="697436"/>
    <x v="13"/>
    <s v="111000269947"/>
    <s v="10002250002888"/>
    <d v="2025-02-14T00:00:00"/>
    <d v="2025-03-16T00:00:00"/>
    <n v="-16"/>
    <n v="518.9"/>
    <x v="0"/>
    <s v="*SAP Business AI Workshop, Zurich"/>
    <s v=""/>
    <s v=""/>
  </r>
  <r>
    <x v="0"/>
    <s v="723210"/>
    <x v="14"/>
    <s v="110900081106"/>
    <s v="10002250000957"/>
    <d v="2025-01-20T00:00:00"/>
    <d v="2025-03-06T00:00:00"/>
    <n v="-6"/>
    <n v="3513.25"/>
    <x v="0"/>
    <s v="P2P erhalten 06.03.2025 Zahlung am 17.03.2025"/>
    <s v=""/>
    <s v=""/>
  </r>
  <r>
    <x v="0"/>
    <s v="737057"/>
    <x v="15"/>
    <s v="110000110165"/>
    <s v="10002250001818"/>
    <d v="2025-01-29T00:00:00"/>
    <d v="2025-02-28T00:00:00"/>
    <n v="0"/>
    <n v="557030.68999999994"/>
    <x v="0"/>
    <s v=""/>
    <s v=""/>
    <s v=""/>
  </r>
  <r>
    <x v="0"/>
    <s v="884415"/>
    <x v="16"/>
    <s v="110500040963"/>
    <s v="10002230016766"/>
    <d v="2023-09-12T00:00:00"/>
    <d v="2023-10-12T00:00:00"/>
    <n v="505"/>
    <n v="1451.22"/>
    <x v="0"/>
    <s v="@25.10.Statusanfrage an KD vers./SAPStore:95982714"/>
    <s v=""/>
    <n v="1451.22"/>
  </r>
  <r>
    <x v="0"/>
    <s v="1319262"/>
    <x v="17"/>
    <s v="110000111214"/>
    <s v="10002250002069"/>
    <d v="2025-01-31T00:00:00"/>
    <d v="2025-03-02T00:00:00"/>
    <n v="-2"/>
    <n v="791.94999999999993"/>
    <x v="0"/>
    <s v=""/>
    <s v=""/>
    <s v=""/>
  </r>
  <r>
    <x v="0"/>
    <s v="1319262"/>
    <x v="17"/>
    <s v="110100099070"/>
    <s v="10002250002854"/>
    <d v="2025-02-13T00:00:00"/>
    <d v="2025-03-15T00:00:00"/>
    <n v="-15"/>
    <n v="155.19999999999999"/>
    <x v="0"/>
    <s v=""/>
    <s v=""/>
    <s v=""/>
  </r>
  <r>
    <x v="0"/>
    <s v="1319262"/>
    <x v="17"/>
    <s v="110200088989"/>
    <s v="10002250002892"/>
    <d v="2025-02-14T00:00:00"/>
    <d v="2025-03-16T00:00:00"/>
    <n v="-16"/>
    <n v="302.41999999999996"/>
    <x v="0"/>
    <s v=""/>
    <s v=""/>
    <s v=""/>
  </r>
  <r>
    <x v="0"/>
    <s v="1319262"/>
    <x v="17"/>
    <s v="110400075034"/>
    <s v="10002240010349"/>
    <d v="2024-06-07T00:00:00"/>
    <d v="2024-07-07T00:00:00"/>
    <n v="236"/>
    <n v="143.30000000000001"/>
    <x v="0"/>
    <s v=""/>
    <s v=""/>
    <n v="143.30000000000001"/>
  </r>
  <r>
    <x v="0"/>
    <s v="1319262"/>
    <x v="17"/>
    <s v="110500089709"/>
    <s v="10002240024095"/>
    <d v="2024-12-31T00:00:00"/>
    <d v="2025-01-30T00:00:00"/>
    <n v="29"/>
    <n v="1728.5"/>
    <x v="0"/>
    <s v=""/>
    <s v=""/>
    <n v="1728.5"/>
  </r>
  <r>
    <x v="0"/>
    <s v="1319262"/>
    <x v="17"/>
    <s v="110600093906"/>
    <s v="10002250000979"/>
    <d v="2025-01-22T00:00:00"/>
    <d v="2025-02-21T00:00:00"/>
    <n v="7"/>
    <n v="653.74"/>
    <x v="0"/>
    <s v=""/>
    <s v=""/>
    <n v="653.74"/>
  </r>
  <r>
    <x v="0"/>
    <s v="1319262"/>
    <x v="17"/>
    <s v="110700100892"/>
    <s v="10002250002442"/>
    <d v="2025-02-05T00:00:00"/>
    <d v="2025-03-07T00:00:00"/>
    <n v="-7"/>
    <n v="231.25"/>
    <x v="0"/>
    <s v=""/>
    <s v=""/>
    <s v=""/>
  </r>
  <r>
    <x v="0"/>
    <s v="1319262"/>
    <x v="17"/>
    <s v="110900082022"/>
    <s v="10002250000981"/>
    <d v="2025-01-22T00:00:00"/>
    <d v="2025-02-21T00:00:00"/>
    <n v="7"/>
    <n v="146.25"/>
    <x v="0"/>
    <s v=""/>
    <s v=""/>
    <n v="146.25"/>
  </r>
  <r>
    <x v="0"/>
    <s v="1319262"/>
    <x v="17"/>
    <s v="110900090684"/>
    <s v="10002250002689"/>
    <d v="2025-02-13T00:00:00"/>
    <d v="2025-03-15T00:00:00"/>
    <n v="-15"/>
    <n v="563.65"/>
    <x v="0"/>
    <s v=""/>
    <s v=""/>
    <s v=""/>
  </r>
  <r>
    <x v="0"/>
    <s v="1319262"/>
    <x v="17"/>
    <s v="111000268912"/>
    <s v="10002250002481"/>
    <d v="2025-02-07T00:00:00"/>
    <d v="2025-03-09T00:00:00"/>
    <n v="-9"/>
    <n v="2702.5"/>
    <x v="0"/>
    <s v="*Customer Success Story Füllemann"/>
    <s v=""/>
    <s v=""/>
  </r>
  <r>
    <x v="1"/>
    <s v="648970"/>
    <x v="18"/>
    <s v="110000110370"/>
    <s v="10003250000561"/>
    <d v="2025-01-29T00:00:00"/>
    <d v="2025-03-30T00:00:00"/>
    <n v="-30"/>
    <n v="924"/>
    <x v="1"/>
    <s v=""/>
    <s v=""/>
    <s v=""/>
  </r>
  <r>
    <x v="1"/>
    <s v="648970"/>
    <x v="18"/>
    <s v="110100094342"/>
    <s v="10003250000425"/>
    <d v="2025-01-22T00:00:00"/>
    <d v="2025-03-23T00:00:00"/>
    <n v="-23"/>
    <n v="891"/>
    <x v="1"/>
    <s v=""/>
    <s v=""/>
    <s v=""/>
  </r>
  <r>
    <x v="1"/>
    <s v="648970"/>
    <x v="18"/>
    <s v="110100094343"/>
    <s v="10003250000426"/>
    <d v="2025-01-22T00:00:00"/>
    <d v="2025-03-23T00:00:00"/>
    <n v="-23"/>
    <n v="375"/>
    <x v="1"/>
    <s v=""/>
    <s v=""/>
    <s v=""/>
  </r>
  <r>
    <x v="1"/>
    <s v="648970"/>
    <x v="18"/>
    <s v="110100094344"/>
    <s v="10003250000427"/>
    <d v="2025-01-22T00:00:00"/>
    <d v="2025-03-23T00:00:00"/>
    <n v="-23"/>
    <n v="1782"/>
    <x v="1"/>
    <s v=""/>
    <s v=""/>
    <s v=""/>
  </r>
  <r>
    <x v="1"/>
    <s v="648970"/>
    <x v="18"/>
    <s v="110100095201"/>
    <s v="10003250000564"/>
    <d v="2025-01-30T00:00:00"/>
    <d v="2025-03-31T00:00:00"/>
    <n v="-31"/>
    <n v="7194"/>
    <x v="1"/>
    <s v=""/>
    <s v=""/>
    <s v=""/>
  </r>
  <r>
    <x v="1"/>
    <s v="648970"/>
    <x v="18"/>
    <s v="110100100117"/>
    <s v="10003250002827"/>
    <d v="2025-02-27T00:00:00"/>
    <d v="2025-04-13T00:00:00"/>
    <n v="-44"/>
    <n v="823.2"/>
    <x v="1"/>
    <s v=""/>
    <s v=""/>
    <s v=""/>
  </r>
  <r>
    <x v="1"/>
    <s v="648970"/>
    <x v="18"/>
    <s v="110200087675"/>
    <s v="10003250000568"/>
    <d v="2025-01-31T00:00:00"/>
    <d v="2025-03-02T00:00:00"/>
    <n v="-2"/>
    <n v="360.35999999999996"/>
    <x v="1"/>
    <s v=""/>
    <s v=""/>
    <s v=""/>
  </r>
  <r>
    <x v="1"/>
    <s v="648970"/>
    <x v="18"/>
    <s v="110300084650"/>
    <s v="10003250000337"/>
    <d v="2025-01-09T00:00:00"/>
    <d v="2025-03-10T00:00:00"/>
    <n v="-10"/>
    <n v="924"/>
    <x v="1"/>
    <s v=""/>
    <s v=""/>
    <s v=""/>
  </r>
  <r>
    <x v="1"/>
    <s v="648970"/>
    <x v="18"/>
    <s v="110400099143"/>
    <s v="10003250002825"/>
    <d v="2025-02-27T00:00:00"/>
    <d v="2025-03-29T00:00:00"/>
    <n v="-29"/>
    <n v="1973.4"/>
    <x v="1"/>
    <s v=""/>
    <s v=""/>
    <s v=""/>
  </r>
  <r>
    <x v="1"/>
    <s v="648970"/>
    <x v="18"/>
    <s v="110500089833"/>
    <s v="10003240015805"/>
    <d v="2024-12-31T00:00:00"/>
    <d v="2025-03-01T00:00:00"/>
    <n v="-1"/>
    <n v="1504.8"/>
    <x v="1"/>
    <s v=""/>
    <s v=""/>
    <s v=""/>
  </r>
  <r>
    <x v="1"/>
    <s v="648970"/>
    <x v="18"/>
    <s v="110500089834"/>
    <s v="10003240015806"/>
    <d v="2024-12-31T00:00:00"/>
    <d v="2025-03-01T00:00:00"/>
    <n v="-1"/>
    <n v="752.4"/>
    <x v="1"/>
    <s v=""/>
    <s v=""/>
    <s v=""/>
  </r>
  <r>
    <x v="1"/>
    <s v="648970"/>
    <x v="18"/>
    <s v="110500089835"/>
    <s v="10003240015807"/>
    <d v="2024-12-31T00:00:00"/>
    <d v="2025-03-01T00:00:00"/>
    <n v="-1"/>
    <n v="924"/>
    <x v="1"/>
    <s v=""/>
    <s v=""/>
    <s v=""/>
  </r>
  <r>
    <x v="1"/>
    <s v="648970"/>
    <x v="18"/>
    <s v="110500089836"/>
    <s v="10003240015808"/>
    <d v="2024-12-31T00:00:00"/>
    <d v="2025-03-01T00:00:00"/>
    <n v="-1"/>
    <n v="1980"/>
    <x v="1"/>
    <s v=""/>
    <s v=""/>
    <s v=""/>
  </r>
  <r>
    <x v="1"/>
    <s v="648970"/>
    <x v="18"/>
    <s v="110500094401"/>
    <s v="10003250000569"/>
    <d v="2025-01-31T00:00:00"/>
    <d v="2025-03-02T00:00:00"/>
    <n v="-2"/>
    <n v="180.17999999999998"/>
    <x v="1"/>
    <s v=""/>
    <s v=""/>
    <s v=""/>
  </r>
  <r>
    <x v="1"/>
    <s v="648970"/>
    <x v="18"/>
    <s v="110500095806"/>
    <s v="10003250002637"/>
    <d v="2025-02-18T00:00:00"/>
    <d v="2025-03-20T00:00:00"/>
    <n v="-20"/>
    <n v="432"/>
    <x v="1"/>
    <s v=""/>
    <s v=""/>
    <s v=""/>
  </r>
  <r>
    <x v="1"/>
    <s v="648970"/>
    <x v="18"/>
    <s v="110500096797"/>
    <s v="10003250002816"/>
    <d v="2025-02-26T00:00:00"/>
    <d v="2025-03-28T00:00:00"/>
    <n v="-28"/>
    <n v="726.66"/>
    <x v="1"/>
    <s v=""/>
    <s v=""/>
    <s v=""/>
  </r>
  <r>
    <x v="1"/>
    <s v="648970"/>
    <x v="18"/>
    <s v="110500096798"/>
    <s v="10003250002817"/>
    <d v="2025-02-26T00:00:00"/>
    <d v="2025-03-28T00:00:00"/>
    <n v="-28"/>
    <n v="62.03"/>
    <x v="1"/>
    <s v=""/>
    <s v=""/>
    <s v=""/>
  </r>
  <r>
    <x v="1"/>
    <s v="648970"/>
    <x v="18"/>
    <s v="110500096799"/>
    <s v="10003250002818"/>
    <d v="2025-02-26T00:00:00"/>
    <d v="2025-03-28T00:00:00"/>
    <n v="-28"/>
    <n v="432"/>
    <x v="1"/>
    <s v=""/>
    <s v=""/>
    <s v=""/>
  </r>
  <r>
    <x v="1"/>
    <s v="648970"/>
    <x v="18"/>
    <s v="110500096991"/>
    <s v="10003250002826"/>
    <d v="2025-02-27T00:00:00"/>
    <d v="2025-04-13T00:00:00"/>
    <n v="-44"/>
    <n v="443.7"/>
    <x v="1"/>
    <s v=""/>
    <s v=""/>
    <s v=""/>
  </r>
  <r>
    <x v="1"/>
    <s v="648970"/>
    <x v="18"/>
    <s v="110600096898"/>
    <s v="10003250002824"/>
    <d v="2025-02-27T00:00:00"/>
    <d v="2025-04-13T00:00:00"/>
    <n v="-44"/>
    <n v="1007.8"/>
    <x v="1"/>
    <s v=""/>
    <s v=""/>
    <s v=""/>
  </r>
  <r>
    <x v="1"/>
    <s v="648970"/>
    <x v="18"/>
    <s v="110700102046"/>
    <s v="10003250001940"/>
    <d v="2025-02-05T00:00:00"/>
    <d v="2025-03-22T00:00:00"/>
    <n v="-22"/>
    <n v="573.12"/>
    <x v="1"/>
    <s v=""/>
    <s v=""/>
    <s v=""/>
  </r>
  <r>
    <x v="1"/>
    <s v="648970"/>
    <x v="18"/>
    <s v="110700102047"/>
    <s v="10003250001941"/>
    <d v="2025-02-05T00:00:00"/>
    <d v="2025-03-22T00:00:00"/>
    <n v="-22"/>
    <n v="163.63999999999999"/>
    <x v="1"/>
    <s v=""/>
    <s v=""/>
    <s v=""/>
  </r>
  <r>
    <x v="1"/>
    <s v="648970"/>
    <x v="18"/>
    <s v="110700102048"/>
    <s v="10003250001942"/>
    <d v="2025-02-05T00:00:00"/>
    <d v="2025-03-22T00:00:00"/>
    <n v="-22"/>
    <n v="225"/>
    <x v="1"/>
    <s v=""/>
    <s v=""/>
    <s v=""/>
  </r>
  <r>
    <x v="1"/>
    <s v="648970"/>
    <x v="18"/>
    <s v="110700102049"/>
    <s v="10003250001943"/>
    <d v="2025-02-05T00:00:00"/>
    <d v="2025-03-22T00:00:00"/>
    <n v="-22"/>
    <n v="119.4"/>
    <x v="1"/>
    <s v=""/>
    <s v=""/>
    <s v=""/>
  </r>
  <r>
    <x v="1"/>
    <s v="648970"/>
    <x v="18"/>
    <s v="110700102050"/>
    <s v="10003250001944"/>
    <d v="2025-02-05T00:00:00"/>
    <d v="2025-03-22T00:00:00"/>
    <n v="-22"/>
    <n v="198"/>
    <x v="1"/>
    <s v=""/>
    <s v=""/>
    <s v=""/>
  </r>
  <r>
    <x v="1"/>
    <s v="648970"/>
    <x v="18"/>
    <s v="110700102051"/>
    <s v="10003250001945"/>
    <d v="2025-02-05T00:00:00"/>
    <d v="2025-03-22T00:00:00"/>
    <n v="-22"/>
    <n v="240"/>
    <x v="1"/>
    <s v=""/>
    <s v=""/>
    <s v=""/>
  </r>
  <r>
    <x v="1"/>
    <s v="648970"/>
    <x v="18"/>
    <s v="110700102052"/>
    <s v="10003250001946"/>
    <d v="2025-02-05T00:00:00"/>
    <d v="2025-03-22T00:00:00"/>
    <n v="-22"/>
    <n v="180"/>
    <x v="1"/>
    <s v=""/>
    <s v=""/>
    <s v=""/>
  </r>
  <r>
    <x v="1"/>
    <s v="648970"/>
    <x v="18"/>
    <s v="110700102053"/>
    <s v="10003250001947"/>
    <d v="2025-02-05T00:00:00"/>
    <d v="2025-03-22T00:00:00"/>
    <n v="-22"/>
    <n v="75"/>
    <x v="1"/>
    <s v=""/>
    <s v=""/>
    <s v=""/>
  </r>
  <r>
    <x v="1"/>
    <s v="648970"/>
    <x v="18"/>
    <s v="110700102054"/>
    <s v="10003250001948"/>
    <d v="2025-02-05T00:00:00"/>
    <d v="2025-03-22T00:00:00"/>
    <n v="-22"/>
    <n v="450"/>
    <x v="1"/>
    <s v=""/>
    <s v=""/>
    <s v=""/>
  </r>
  <r>
    <x v="1"/>
    <s v="648970"/>
    <x v="18"/>
    <s v="110700102055"/>
    <s v="10003250001949"/>
    <d v="2025-02-05T00:00:00"/>
    <d v="2025-03-22T00:00:00"/>
    <n v="-22"/>
    <n v="263.06"/>
    <x v="1"/>
    <s v=""/>
    <s v=""/>
    <s v=""/>
  </r>
  <r>
    <x v="1"/>
    <s v="648970"/>
    <x v="18"/>
    <s v="110700102056"/>
    <s v="10003250001950"/>
    <d v="2025-02-05T00:00:00"/>
    <d v="2025-03-22T00:00:00"/>
    <n v="-22"/>
    <n v="179.7"/>
    <x v="1"/>
    <s v=""/>
    <s v=""/>
    <s v=""/>
  </r>
  <r>
    <x v="1"/>
    <s v="648970"/>
    <x v="18"/>
    <s v="110700102057"/>
    <s v="10003250001951"/>
    <d v="2025-02-05T00:00:00"/>
    <d v="2025-03-22T00:00:00"/>
    <n v="-22"/>
    <n v="335.05"/>
    <x v="1"/>
    <s v=""/>
    <s v=""/>
    <s v=""/>
  </r>
  <r>
    <x v="1"/>
    <s v="648970"/>
    <x v="18"/>
    <s v="110700102058"/>
    <s v="10003250001952"/>
    <d v="2025-02-05T00:00:00"/>
    <d v="2025-03-22T00:00:00"/>
    <n v="-22"/>
    <n v="483.56"/>
    <x v="1"/>
    <s v=""/>
    <s v=""/>
    <s v=""/>
  </r>
  <r>
    <x v="1"/>
    <s v="648970"/>
    <x v="18"/>
    <s v="110700102059"/>
    <s v="10003250001953"/>
    <d v="2025-02-05T00:00:00"/>
    <d v="2025-03-22T00:00:00"/>
    <n v="-22"/>
    <n v="203.35"/>
    <x v="1"/>
    <s v=""/>
    <s v=""/>
    <s v=""/>
  </r>
  <r>
    <x v="1"/>
    <s v="648970"/>
    <x v="18"/>
    <s v="110700102060"/>
    <s v="10003250001954"/>
    <d v="2025-02-05T00:00:00"/>
    <d v="2025-03-22T00:00:00"/>
    <n v="-22"/>
    <n v="144.52000000000001"/>
    <x v="1"/>
    <s v=""/>
    <s v=""/>
    <s v=""/>
  </r>
  <r>
    <x v="1"/>
    <s v="648970"/>
    <x v="18"/>
    <s v="110700102061"/>
    <s v="10003250001955"/>
    <d v="2025-02-05T00:00:00"/>
    <d v="2025-03-22T00:00:00"/>
    <n v="-22"/>
    <n v="105.3"/>
    <x v="1"/>
    <s v=""/>
    <s v=""/>
    <s v=""/>
  </r>
  <r>
    <x v="1"/>
    <s v="648970"/>
    <x v="18"/>
    <s v="110700102062"/>
    <s v="10003250001956"/>
    <d v="2025-02-05T00:00:00"/>
    <d v="2025-03-22T00:00:00"/>
    <n v="-22"/>
    <n v="336"/>
    <x v="1"/>
    <s v=""/>
    <s v=""/>
    <s v=""/>
  </r>
  <r>
    <x v="1"/>
    <s v="648970"/>
    <x v="18"/>
    <s v="110700102063"/>
    <s v="10003250001957"/>
    <d v="2025-02-05T00:00:00"/>
    <d v="2025-03-22T00:00:00"/>
    <n v="-22"/>
    <n v="317.18"/>
    <x v="1"/>
    <s v=""/>
    <s v=""/>
    <s v=""/>
  </r>
  <r>
    <x v="1"/>
    <s v="648970"/>
    <x v="18"/>
    <s v="110700102064"/>
    <s v="10003250001958"/>
    <d v="2025-02-05T00:00:00"/>
    <d v="2025-03-22T00:00:00"/>
    <n v="-22"/>
    <n v="484.7"/>
    <x v="1"/>
    <s v=""/>
    <s v=""/>
    <s v=""/>
  </r>
  <r>
    <x v="1"/>
    <s v="648970"/>
    <x v="18"/>
    <s v="110700102065"/>
    <s v="10003250001959"/>
    <d v="2025-02-05T00:00:00"/>
    <d v="2025-03-22T00:00:00"/>
    <n v="-22"/>
    <n v="560.58000000000004"/>
    <x v="1"/>
    <s v=""/>
    <s v=""/>
    <s v=""/>
  </r>
  <r>
    <x v="1"/>
    <s v="648970"/>
    <x v="18"/>
    <s v="110700102066"/>
    <s v="10003250001960"/>
    <d v="2025-02-05T00:00:00"/>
    <d v="2025-03-22T00:00:00"/>
    <n v="-22"/>
    <n v="974.24"/>
    <x v="1"/>
    <s v=""/>
    <s v=""/>
    <s v=""/>
  </r>
  <r>
    <x v="1"/>
    <s v="648970"/>
    <x v="18"/>
    <s v="110700102067"/>
    <s v="10003250001961"/>
    <d v="2025-02-05T00:00:00"/>
    <d v="2025-03-22T00:00:00"/>
    <n v="-22"/>
    <n v="475.19"/>
    <x v="1"/>
    <s v=""/>
    <s v=""/>
    <s v=""/>
  </r>
  <r>
    <x v="1"/>
    <s v="648970"/>
    <x v="18"/>
    <s v="110700102068"/>
    <s v="10003250001962"/>
    <d v="2025-02-05T00:00:00"/>
    <d v="2025-03-22T00:00:00"/>
    <n v="-22"/>
    <n v="436.24"/>
    <x v="1"/>
    <s v=""/>
    <s v=""/>
    <s v=""/>
  </r>
  <r>
    <x v="1"/>
    <s v="648970"/>
    <x v="18"/>
    <s v="110700102069"/>
    <s v="10003250001963"/>
    <d v="2025-02-05T00:00:00"/>
    <d v="2025-03-22T00:00:00"/>
    <n v="-22"/>
    <n v="278.10000000000002"/>
    <x v="1"/>
    <s v=""/>
    <s v=""/>
    <s v=""/>
  </r>
  <r>
    <x v="1"/>
    <s v="648970"/>
    <x v="18"/>
    <s v="110700102070"/>
    <s v="10003250001964"/>
    <d v="2025-02-05T00:00:00"/>
    <d v="2025-03-22T00:00:00"/>
    <n v="-22"/>
    <n v="573.76"/>
    <x v="1"/>
    <s v=""/>
    <s v=""/>
    <s v=""/>
  </r>
  <r>
    <x v="1"/>
    <s v="648970"/>
    <x v="18"/>
    <s v="110700102071"/>
    <s v="10003250001965"/>
    <d v="2025-02-05T00:00:00"/>
    <d v="2025-03-22T00:00:00"/>
    <n v="-22"/>
    <n v="720"/>
    <x v="1"/>
    <s v=""/>
    <s v=""/>
    <s v=""/>
  </r>
  <r>
    <x v="1"/>
    <s v="648970"/>
    <x v="18"/>
    <s v="110700102072"/>
    <s v="10003250001966"/>
    <d v="2025-02-05T00:00:00"/>
    <d v="2025-03-22T00:00:00"/>
    <n v="-22"/>
    <n v="941.26"/>
    <x v="1"/>
    <s v=""/>
    <s v=""/>
    <s v=""/>
  </r>
  <r>
    <x v="1"/>
    <s v="648970"/>
    <x v="18"/>
    <s v="110700102073"/>
    <s v="10003250001967"/>
    <d v="2025-02-05T00:00:00"/>
    <d v="2025-03-22T00:00:00"/>
    <n v="-22"/>
    <n v="159.13"/>
    <x v="1"/>
    <s v=""/>
    <s v=""/>
    <s v=""/>
  </r>
  <r>
    <x v="1"/>
    <s v="648970"/>
    <x v="18"/>
    <s v="110700102074"/>
    <s v="10003250001968"/>
    <d v="2025-02-05T00:00:00"/>
    <d v="2025-03-22T00:00:00"/>
    <n v="-22"/>
    <n v="392.9"/>
    <x v="1"/>
    <s v=""/>
    <s v=""/>
    <s v=""/>
  </r>
  <r>
    <x v="1"/>
    <s v="648970"/>
    <x v="18"/>
    <s v="110700102075"/>
    <s v="10003250001969"/>
    <d v="2025-02-05T00:00:00"/>
    <d v="2025-03-22T00:00:00"/>
    <n v="-22"/>
    <n v="225"/>
    <x v="1"/>
    <s v=""/>
    <s v=""/>
    <s v=""/>
  </r>
  <r>
    <x v="1"/>
    <s v="648970"/>
    <x v="18"/>
    <s v="110700102076"/>
    <s v="10003250001970"/>
    <d v="2025-02-05T00:00:00"/>
    <d v="2025-03-22T00:00:00"/>
    <n v="-22"/>
    <n v="437.98"/>
    <x v="1"/>
    <s v=""/>
    <s v=""/>
    <s v=""/>
  </r>
  <r>
    <x v="1"/>
    <s v="648970"/>
    <x v="18"/>
    <s v="110700102077"/>
    <s v="10003250001971"/>
    <d v="2025-02-05T00:00:00"/>
    <d v="2025-03-22T00:00:00"/>
    <n v="-22"/>
    <n v="150.07"/>
    <x v="1"/>
    <s v=""/>
    <s v=""/>
    <s v=""/>
  </r>
  <r>
    <x v="1"/>
    <s v="648970"/>
    <x v="18"/>
    <s v="110700102078"/>
    <s v="10003250001972"/>
    <d v="2025-02-05T00:00:00"/>
    <d v="2025-03-22T00:00:00"/>
    <n v="-22"/>
    <n v="627.98"/>
    <x v="1"/>
    <s v=""/>
    <s v=""/>
    <s v=""/>
  </r>
  <r>
    <x v="1"/>
    <s v="648970"/>
    <x v="18"/>
    <s v="110700102079"/>
    <s v="10003250001973"/>
    <d v="2025-02-05T00:00:00"/>
    <d v="2025-03-22T00:00:00"/>
    <n v="-22"/>
    <n v="758.2"/>
    <x v="1"/>
    <s v=""/>
    <s v=""/>
    <s v=""/>
  </r>
  <r>
    <x v="1"/>
    <s v="648970"/>
    <x v="18"/>
    <s v="110700102080"/>
    <s v="10003250001974"/>
    <d v="2025-02-05T00:00:00"/>
    <d v="2025-03-22T00:00:00"/>
    <n v="-22"/>
    <n v="333.25"/>
    <x v="1"/>
    <s v=""/>
    <s v=""/>
    <s v=""/>
  </r>
  <r>
    <x v="1"/>
    <s v="648970"/>
    <x v="18"/>
    <s v="110700102081"/>
    <s v="10003250001975"/>
    <d v="2025-02-05T00:00:00"/>
    <d v="2025-03-22T00:00:00"/>
    <n v="-22"/>
    <n v="554.26"/>
    <x v="1"/>
    <s v=""/>
    <s v=""/>
    <s v=""/>
  </r>
  <r>
    <x v="1"/>
    <s v="648970"/>
    <x v="18"/>
    <s v="110700102082"/>
    <s v="10003250001976"/>
    <d v="2025-02-05T00:00:00"/>
    <d v="2025-03-22T00:00:00"/>
    <n v="-22"/>
    <n v="1575"/>
    <x v="1"/>
    <s v=""/>
    <s v=""/>
    <s v=""/>
  </r>
  <r>
    <x v="1"/>
    <s v="648970"/>
    <x v="18"/>
    <s v="110700102083"/>
    <s v="10003250001977"/>
    <d v="2025-02-05T00:00:00"/>
    <d v="2025-03-22T00:00:00"/>
    <n v="-22"/>
    <n v="256.7"/>
    <x v="1"/>
    <s v=""/>
    <s v=""/>
    <s v=""/>
  </r>
  <r>
    <x v="1"/>
    <s v="648970"/>
    <x v="18"/>
    <s v="110700102084"/>
    <s v="10003250001978"/>
    <d v="2025-02-05T00:00:00"/>
    <d v="2025-03-22T00:00:00"/>
    <n v="-22"/>
    <n v="543.28"/>
    <x v="1"/>
    <s v=""/>
    <s v=""/>
    <s v=""/>
  </r>
  <r>
    <x v="1"/>
    <s v="648970"/>
    <x v="18"/>
    <s v="110700102085"/>
    <s v="10003250001979"/>
    <d v="2025-02-05T00:00:00"/>
    <d v="2025-03-22T00:00:00"/>
    <n v="-22"/>
    <n v="531.72"/>
    <x v="1"/>
    <s v=""/>
    <s v=""/>
    <s v=""/>
  </r>
  <r>
    <x v="1"/>
    <s v="648970"/>
    <x v="18"/>
    <s v="110700102086"/>
    <s v="10003250001980"/>
    <d v="2025-02-05T00:00:00"/>
    <d v="2025-03-22T00:00:00"/>
    <n v="-22"/>
    <n v="857.93"/>
    <x v="1"/>
    <s v=""/>
    <s v=""/>
    <s v=""/>
  </r>
  <r>
    <x v="1"/>
    <s v="648970"/>
    <x v="18"/>
    <s v="110700102087"/>
    <s v="10003250001981"/>
    <d v="2025-02-05T00:00:00"/>
    <d v="2025-03-22T00:00:00"/>
    <n v="-22"/>
    <n v="231"/>
    <x v="1"/>
    <s v=""/>
    <s v=""/>
    <s v=""/>
  </r>
  <r>
    <x v="1"/>
    <s v="648970"/>
    <x v="18"/>
    <s v="110700102088"/>
    <s v="10003250001982"/>
    <d v="2025-02-05T00:00:00"/>
    <d v="2025-03-22T00:00:00"/>
    <n v="-22"/>
    <n v="104.7"/>
    <x v="1"/>
    <s v=""/>
    <s v=""/>
    <s v=""/>
  </r>
  <r>
    <x v="1"/>
    <s v="648970"/>
    <x v="18"/>
    <s v="110700102089"/>
    <s v="10003250001983"/>
    <d v="2025-02-05T00:00:00"/>
    <d v="2025-03-22T00:00:00"/>
    <n v="-22"/>
    <n v="190.5"/>
    <x v="1"/>
    <s v=""/>
    <s v=""/>
    <s v=""/>
  </r>
  <r>
    <x v="1"/>
    <s v="648970"/>
    <x v="18"/>
    <s v="110700102090"/>
    <s v="10003250001984"/>
    <d v="2025-02-05T00:00:00"/>
    <d v="2025-03-22T00:00:00"/>
    <n v="-22"/>
    <n v="225"/>
    <x v="1"/>
    <s v=""/>
    <s v=""/>
    <s v=""/>
  </r>
  <r>
    <x v="1"/>
    <s v="648970"/>
    <x v="18"/>
    <s v="110700102091"/>
    <s v="10003250001985"/>
    <d v="2025-02-05T00:00:00"/>
    <d v="2025-03-22T00:00:00"/>
    <n v="-22"/>
    <n v="97.68"/>
    <x v="1"/>
    <s v=""/>
    <s v=""/>
    <s v=""/>
  </r>
  <r>
    <x v="1"/>
    <s v="648970"/>
    <x v="18"/>
    <s v="110700102092"/>
    <s v="10003250001986"/>
    <d v="2025-02-05T00:00:00"/>
    <d v="2025-03-07T00:00:00"/>
    <n v="-7"/>
    <n v="153"/>
    <x v="1"/>
    <s v=""/>
    <s v=""/>
    <s v=""/>
  </r>
  <r>
    <x v="1"/>
    <s v="648970"/>
    <x v="18"/>
    <s v="110700102093"/>
    <s v="10003250001987"/>
    <d v="2025-02-05T00:00:00"/>
    <d v="2025-03-07T00:00:00"/>
    <n v="-7"/>
    <n v="528.26"/>
    <x v="1"/>
    <s v=""/>
    <s v=""/>
    <s v=""/>
  </r>
  <r>
    <x v="1"/>
    <s v="648970"/>
    <x v="18"/>
    <s v="110700102094"/>
    <s v="10003250001988"/>
    <d v="2025-02-05T00:00:00"/>
    <d v="2025-03-22T00:00:00"/>
    <n v="-22"/>
    <n v="333.25"/>
    <x v="1"/>
    <s v=""/>
    <s v=""/>
    <s v=""/>
  </r>
  <r>
    <x v="1"/>
    <s v="648970"/>
    <x v="18"/>
    <s v="110700102095"/>
    <s v="10003250001989"/>
    <d v="2025-02-05T00:00:00"/>
    <d v="2025-03-22T00:00:00"/>
    <n v="-22"/>
    <n v="75"/>
    <x v="1"/>
    <s v=""/>
    <s v=""/>
    <s v=""/>
  </r>
  <r>
    <x v="1"/>
    <s v="648970"/>
    <x v="18"/>
    <s v="110700102096"/>
    <s v="10003250001990"/>
    <d v="2025-02-05T00:00:00"/>
    <d v="2025-03-07T00:00:00"/>
    <n v="-7"/>
    <n v="410.2"/>
    <x v="1"/>
    <s v=""/>
    <s v=""/>
    <s v=""/>
  </r>
  <r>
    <x v="1"/>
    <s v="648970"/>
    <x v="18"/>
    <s v="110700102097"/>
    <s v="10003250001991"/>
    <d v="2025-02-05T00:00:00"/>
    <d v="2025-03-07T00:00:00"/>
    <n v="-7"/>
    <n v="75"/>
    <x v="1"/>
    <s v=""/>
    <s v=""/>
    <s v=""/>
  </r>
  <r>
    <x v="1"/>
    <s v="648970"/>
    <x v="18"/>
    <s v="110700102098"/>
    <s v="10003250001992"/>
    <d v="2025-02-05T00:00:00"/>
    <d v="2025-03-07T00:00:00"/>
    <n v="-7"/>
    <n v="75"/>
    <x v="1"/>
    <s v=""/>
    <s v=""/>
    <s v=""/>
  </r>
  <r>
    <x v="1"/>
    <s v="648970"/>
    <x v="18"/>
    <s v="110700102099"/>
    <s v="10003250001993"/>
    <d v="2025-02-05T00:00:00"/>
    <d v="2025-03-22T00:00:00"/>
    <n v="-22"/>
    <n v="75"/>
    <x v="1"/>
    <s v=""/>
    <s v=""/>
    <s v=""/>
  </r>
  <r>
    <x v="1"/>
    <s v="648970"/>
    <x v="18"/>
    <s v="110700102100"/>
    <s v="10003250001994"/>
    <d v="2025-02-05T00:00:00"/>
    <d v="2025-03-07T00:00:00"/>
    <n v="-7"/>
    <n v="75"/>
    <x v="1"/>
    <s v=""/>
    <s v=""/>
    <s v=""/>
  </r>
  <r>
    <x v="1"/>
    <s v="648970"/>
    <x v="18"/>
    <s v="110700102101"/>
    <s v="10003250001995"/>
    <d v="2025-02-05T00:00:00"/>
    <d v="2025-03-07T00:00:00"/>
    <n v="-7"/>
    <n v="1191"/>
    <x v="1"/>
    <s v=""/>
    <s v=""/>
    <s v=""/>
  </r>
  <r>
    <x v="1"/>
    <s v="648970"/>
    <x v="18"/>
    <s v="110700102102"/>
    <s v="10003250001996"/>
    <d v="2025-02-05T00:00:00"/>
    <d v="2025-03-07T00:00:00"/>
    <n v="-7"/>
    <n v="190.5"/>
    <x v="1"/>
    <s v=""/>
    <s v=""/>
    <s v=""/>
  </r>
  <r>
    <x v="1"/>
    <s v="648970"/>
    <x v="18"/>
    <s v="110700102103"/>
    <s v="10003250001997"/>
    <d v="2025-02-05T00:00:00"/>
    <d v="2025-03-22T00:00:00"/>
    <n v="-22"/>
    <n v="29.7"/>
    <x v="1"/>
    <s v=""/>
    <s v=""/>
    <s v=""/>
  </r>
  <r>
    <x v="1"/>
    <s v="648970"/>
    <x v="18"/>
    <s v="110700102104"/>
    <s v="10003250001998"/>
    <d v="2025-02-05T00:00:00"/>
    <d v="2025-03-22T00:00:00"/>
    <n v="-22"/>
    <n v="75"/>
    <x v="1"/>
    <s v=""/>
    <s v=""/>
    <s v=""/>
  </r>
  <r>
    <x v="1"/>
    <s v="648970"/>
    <x v="18"/>
    <s v="110700102105"/>
    <s v="10003250001999"/>
    <d v="2025-02-05T00:00:00"/>
    <d v="2025-03-22T00:00:00"/>
    <n v="-22"/>
    <n v="29.7"/>
    <x v="1"/>
    <s v=""/>
    <s v=""/>
    <s v=""/>
  </r>
  <r>
    <x v="1"/>
    <s v="648970"/>
    <x v="18"/>
    <s v="110700102106"/>
    <s v="10003250002000"/>
    <d v="2025-02-05T00:00:00"/>
    <d v="2025-03-07T00:00:00"/>
    <n v="-7"/>
    <n v="870.83"/>
    <x v="1"/>
    <s v=""/>
    <s v=""/>
    <s v=""/>
  </r>
  <r>
    <x v="1"/>
    <s v="648970"/>
    <x v="18"/>
    <s v="110700102107"/>
    <s v="10003250002001"/>
    <d v="2025-02-05T00:00:00"/>
    <d v="2025-03-22T00:00:00"/>
    <n v="-22"/>
    <n v="183.62"/>
    <x v="1"/>
    <s v=""/>
    <s v=""/>
    <s v=""/>
  </r>
  <r>
    <x v="1"/>
    <s v="648970"/>
    <x v="18"/>
    <s v="110700102108"/>
    <s v="10003250002002"/>
    <d v="2025-02-05T00:00:00"/>
    <d v="2025-03-22T00:00:00"/>
    <n v="-22"/>
    <n v="50.92"/>
    <x v="1"/>
    <s v=""/>
    <s v=""/>
    <s v=""/>
  </r>
  <r>
    <x v="1"/>
    <s v="648970"/>
    <x v="18"/>
    <s v="110700102109"/>
    <s v="10003250002003"/>
    <d v="2025-02-05T00:00:00"/>
    <d v="2025-03-07T00:00:00"/>
    <n v="-7"/>
    <n v="29.7"/>
    <x v="1"/>
    <s v=""/>
    <s v=""/>
    <s v=""/>
  </r>
  <r>
    <x v="1"/>
    <s v="648970"/>
    <x v="18"/>
    <s v="110700102110"/>
    <s v="10003250002004"/>
    <d v="2025-02-05T00:00:00"/>
    <d v="2025-03-07T00:00:00"/>
    <n v="-7"/>
    <n v="312"/>
    <x v="1"/>
    <s v=""/>
    <s v=""/>
    <s v=""/>
  </r>
  <r>
    <x v="1"/>
    <s v="648970"/>
    <x v="18"/>
    <s v="110700102111"/>
    <s v="10003250002005"/>
    <d v="2025-02-05T00:00:00"/>
    <d v="2025-03-07T00:00:00"/>
    <n v="-7"/>
    <n v="540"/>
    <x v="1"/>
    <s v=""/>
    <s v=""/>
    <s v=""/>
  </r>
  <r>
    <x v="1"/>
    <s v="648970"/>
    <x v="18"/>
    <s v="110700102112"/>
    <s v="10003250002006"/>
    <d v="2025-02-05T00:00:00"/>
    <d v="2025-03-07T00:00:00"/>
    <n v="-7"/>
    <n v="37.5"/>
    <x v="1"/>
    <s v=""/>
    <s v=""/>
    <s v=""/>
  </r>
  <r>
    <x v="1"/>
    <s v="648970"/>
    <x v="18"/>
    <s v="110700102113"/>
    <s v="10003250002007"/>
    <d v="2025-02-05T00:00:00"/>
    <d v="2025-03-22T00:00:00"/>
    <n v="-22"/>
    <n v="78.900000000000006"/>
    <x v="1"/>
    <s v=""/>
    <s v=""/>
    <s v=""/>
  </r>
  <r>
    <x v="1"/>
    <s v="648970"/>
    <x v="18"/>
    <s v="110700102114"/>
    <s v="10003250002008"/>
    <d v="2025-02-05T00:00:00"/>
    <d v="2025-03-07T00:00:00"/>
    <n v="-7"/>
    <n v="300"/>
    <x v="1"/>
    <s v=""/>
    <s v=""/>
    <s v=""/>
  </r>
  <r>
    <x v="1"/>
    <s v="648970"/>
    <x v="18"/>
    <s v="110700102115"/>
    <s v="10003250002009"/>
    <d v="2025-02-05T00:00:00"/>
    <d v="2025-03-07T00:00:00"/>
    <n v="-7"/>
    <n v="334.9"/>
    <x v="1"/>
    <s v=""/>
    <s v=""/>
    <s v=""/>
  </r>
  <r>
    <x v="1"/>
    <s v="648970"/>
    <x v="18"/>
    <s v="110700102116"/>
    <s v="10003250002010"/>
    <d v="2025-02-05T00:00:00"/>
    <d v="2025-03-22T00:00:00"/>
    <n v="-22"/>
    <n v="499.8"/>
    <x v="1"/>
    <s v=""/>
    <s v=""/>
    <s v=""/>
  </r>
  <r>
    <x v="1"/>
    <s v="648970"/>
    <x v="18"/>
    <s v="110700102117"/>
    <s v="10003250002011"/>
    <d v="2025-02-05T00:00:00"/>
    <d v="2025-03-07T00:00:00"/>
    <n v="-7"/>
    <n v="1124.1099999999999"/>
    <x v="1"/>
    <s v=""/>
    <s v=""/>
    <s v=""/>
  </r>
  <r>
    <x v="1"/>
    <s v="648970"/>
    <x v="18"/>
    <s v="110700102118"/>
    <s v="10003250002012"/>
    <d v="2025-02-05T00:00:00"/>
    <d v="2025-03-22T00:00:00"/>
    <n v="-22"/>
    <n v="593.04"/>
    <x v="1"/>
    <s v=""/>
    <s v=""/>
    <s v=""/>
  </r>
  <r>
    <x v="1"/>
    <s v="648970"/>
    <x v="18"/>
    <s v="110700102119"/>
    <s v="10003250002013"/>
    <d v="2025-02-05T00:00:00"/>
    <d v="2025-03-07T00:00:00"/>
    <n v="-7"/>
    <n v="1712.72"/>
    <x v="1"/>
    <s v=""/>
    <s v=""/>
    <s v=""/>
  </r>
  <r>
    <x v="1"/>
    <s v="648970"/>
    <x v="18"/>
    <s v="110700102120"/>
    <s v="10003250002014"/>
    <d v="2025-02-05T00:00:00"/>
    <d v="2025-03-07T00:00:00"/>
    <n v="-7"/>
    <n v="1575.78"/>
    <x v="1"/>
    <s v=""/>
    <s v=""/>
    <s v=""/>
  </r>
  <r>
    <x v="1"/>
    <s v="648970"/>
    <x v="18"/>
    <s v="110700102121"/>
    <s v="10003250002015"/>
    <d v="2025-02-05T00:00:00"/>
    <d v="2025-03-07T00:00:00"/>
    <n v="-7"/>
    <n v="225"/>
    <x v="1"/>
    <s v=""/>
    <s v=""/>
    <s v=""/>
  </r>
  <r>
    <x v="1"/>
    <s v="648970"/>
    <x v="18"/>
    <s v="110700102122"/>
    <s v="10003250002016"/>
    <d v="2025-02-05T00:00:00"/>
    <d v="2025-03-07T00:00:00"/>
    <n v="-7"/>
    <n v="203.26"/>
    <x v="1"/>
    <s v=""/>
    <s v=""/>
    <s v=""/>
  </r>
  <r>
    <x v="1"/>
    <s v="648970"/>
    <x v="18"/>
    <s v="110700102123"/>
    <s v="10003250002017"/>
    <d v="2025-02-05T00:00:00"/>
    <d v="2025-03-07T00:00:00"/>
    <n v="-7"/>
    <n v="541.5"/>
    <x v="1"/>
    <s v=""/>
    <s v=""/>
    <s v=""/>
  </r>
  <r>
    <x v="1"/>
    <s v="648970"/>
    <x v="18"/>
    <s v="110700102124"/>
    <s v="10003250002018"/>
    <d v="2025-02-05T00:00:00"/>
    <d v="2025-03-22T00:00:00"/>
    <n v="-22"/>
    <n v="75"/>
    <x v="1"/>
    <s v=""/>
    <s v=""/>
    <s v=""/>
  </r>
  <r>
    <x v="1"/>
    <s v="648970"/>
    <x v="18"/>
    <s v="110700102125"/>
    <s v="10003250002019"/>
    <d v="2025-02-05T00:00:00"/>
    <d v="2025-03-22T00:00:00"/>
    <n v="-22"/>
    <n v="1650.88"/>
    <x v="1"/>
    <s v=""/>
    <s v=""/>
    <s v=""/>
  </r>
  <r>
    <x v="1"/>
    <s v="648970"/>
    <x v="18"/>
    <s v="110700102126"/>
    <s v="10003250002020"/>
    <d v="2025-02-05T00:00:00"/>
    <d v="2025-03-07T00:00:00"/>
    <n v="-7"/>
    <n v="667.06"/>
    <x v="1"/>
    <s v=""/>
    <s v=""/>
    <s v=""/>
  </r>
  <r>
    <x v="1"/>
    <s v="648970"/>
    <x v="18"/>
    <s v="110700102127"/>
    <s v="10003250002021"/>
    <d v="2025-02-05T00:00:00"/>
    <d v="2025-03-22T00:00:00"/>
    <n v="-22"/>
    <n v="231.04"/>
    <x v="1"/>
    <s v=""/>
    <s v=""/>
    <s v=""/>
  </r>
  <r>
    <x v="1"/>
    <s v="648970"/>
    <x v="18"/>
    <s v="110700102128"/>
    <s v="10003250002022"/>
    <d v="2025-02-05T00:00:00"/>
    <d v="2025-03-07T00:00:00"/>
    <n v="-7"/>
    <n v="231"/>
    <x v="1"/>
    <s v=""/>
    <s v=""/>
    <s v=""/>
  </r>
  <r>
    <x v="1"/>
    <s v="648970"/>
    <x v="18"/>
    <s v="110700102129"/>
    <s v="10003250002023"/>
    <d v="2025-02-05T00:00:00"/>
    <d v="2025-03-07T00:00:00"/>
    <n v="-7"/>
    <n v="53.7"/>
    <x v="1"/>
    <s v=""/>
    <s v=""/>
    <s v=""/>
  </r>
  <r>
    <x v="1"/>
    <s v="648970"/>
    <x v="18"/>
    <s v="110700102130"/>
    <s v="10003250002024"/>
    <d v="2025-02-05T00:00:00"/>
    <d v="2025-03-07T00:00:00"/>
    <n v="-7"/>
    <n v="484.66"/>
    <x v="1"/>
    <s v=""/>
    <s v=""/>
    <s v=""/>
  </r>
  <r>
    <x v="1"/>
    <s v="648970"/>
    <x v="18"/>
    <s v="110700102131"/>
    <s v="10003250002025"/>
    <d v="2025-02-05T00:00:00"/>
    <d v="2025-03-07T00:00:00"/>
    <n v="-7"/>
    <n v="208.51"/>
    <x v="1"/>
    <s v=""/>
    <s v=""/>
    <s v=""/>
  </r>
  <r>
    <x v="1"/>
    <s v="648970"/>
    <x v="18"/>
    <s v="110700102132"/>
    <s v="10003250002026"/>
    <d v="2025-02-05T00:00:00"/>
    <d v="2025-03-07T00:00:00"/>
    <n v="-7"/>
    <n v="150"/>
    <x v="1"/>
    <s v=""/>
    <s v=""/>
    <s v=""/>
  </r>
  <r>
    <x v="1"/>
    <s v="648970"/>
    <x v="18"/>
    <s v="110700102133"/>
    <s v="10003250002027"/>
    <d v="2025-02-05T00:00:00"/>
    <d v="2025-03-22T00:00:00"/>
    <n v="-22"/>
    <n v="618.41999999999996"/>
    <x v="1"/>
    <s v=""/>
    <s v=""/>
    <s v=""/>
  </r>
  <r>
    <x v="1"/>
    <s v="648970"/>
    <x v="18"/>
    <s v="110700102134"/>
    <s v="10003250002028"/>
    <d v="2025-02-05T00:00:00"/>
    <d v="2025-03-07T00:00:00"/>
    <n v="-7"/>
    <n v="78"/>
    <x v="1"/>
    <s v=""/>
    <s v=""/>
    <s v=""/>
  </r>
  <r>
    <x v="1"/>
    <s v="648970"/>
    <x v="18"/>
    <s v="110700102135"/>
    <s v="10003250002029"/>
    <d v="2025-02-05T00:00:00"/>
    <d v="2025-03-22T00:00:00"/>
    <n v="-22"/>
    <n v="148.5"/>
    <x v="1"/>
    <s v=""/>
    <s v=""/>
    <s v=""/>
  </r>
  <r>
    <x v="1"/>
    <s v="648970"/>
    <x v="18"/>
    <s v="110700102136"/>
    <s v="10003250002030"/>
    <d v="2025-02-05T00:00:00"/>
    <d v="2025-03-07T00:00:00"/>
    <n v="-7"/>
    <n v="75"/>
    <x v="1"/>
    <s v=""/>
    <s v=""/>
    <s v=""/>
  </r>
  <r>
    <x v="1"/>
    <s v="648970"/>
    <x v="18"/>
    <s v="110700102137"/>
    <s v="10003250002031"/>
    <d v="2025-02-05T00:00:00"/>
    <d v="2025-03-07T00:00:00"/>
    <n v="-7"/>
    <n v="225"/>
    <x v="1"/>
    <s v=""/>
    <s v=""/>
    <s v=""/>
  </r>
  <r>
    <x v="1"/>
    <s v="648970"/>
    <x v="18"/>
    <s v="110700102138"/>
    <s v="10003250002032"/>
    <d v="2025-02-05T00:00:00"/>
    <d v="2025-03-07T00:00:00"/>
    <n v="-7"/>
    <n v="398.75"/>
    <x v="1"/>
    <s v=""/>
    <s v=""/>
    <s v=""/>
  </r>
  <r>
    <x v="1"/>
    <s v="648970"/>
    <x v="18"/>
    <s v="110700102139"/>
    <s v="10003250002033"/>
    <d v="2025-02-05T00:00:00"/>
    <d v="2025-03-07T00:00:00"/>
    <n v="-7"/>
    <n v="179.7"/>
    <x v="1"/>
    <s v=""/>
    <s v=""/>
    <s v=""/>
  </r>
  <r>
    <x v="1"/>
    <s v="648970"/>
    <x v="18"/>
    <s v="110700102140"/>
    <s v="10003250002034"/>
    <d v="2025-02-05T00:00:00"/>
    <d v="2025-03-22T00:00:00"/>
    <n v="-22"/>
    <n v="911.42"/>
    <x v="1"/>
    <s v=""/>
    <s v=""/>
    <s v=""/>
  </r>
  <r>
    <x v="1"/>
    <s v="648970"/>
    <x v="18"/>
    <s v="110700102141"/>
    <s v="10003250002035"/>
    <d v="2025-02-05T00:00:00"/>
    <d v="2025-03-07T00:00:00"/>
    <n v="-7"/>
    <n v="2815.48"/>
    <x v="1"/>
    <s v=""/>
    <s v=""/>
    <s v=""/>
  </r>
  <r>
    <x v="1"/>
    <s v="648970"/>
    <x v="18"/>
    <s v="110700102142"/>
    <s v="10003250002036"/>
    <d v="2025-02-05T00:00:00"/>
    <d v="2025-03-07T00:00:00"/>
    <n v="-7"/>
    <n v="29.7"/>
    <x v="1"/>
    <s v=""/>
    <s v=""/>
    <s v=""/>
  </r>
  <r>
    <x v="1"/>
    <s v="648970"/>
    <x v="18"/>
    <s v="110700102143"/>
    <s v="10003250002037"/>
    <d v="2025-02-05T00:00:00"/>
    <d v="2025-03-07T00:00:00"/>
    <n v="-7"/>
    <n v="468"/>
    <x v="1"/>
    <s v=""/>
    <s v=""/>
    <s v=""/>
  </r>
  <r>
    <x v="1"/>
    <s v="648970"/>
    <x v="18"/>
    <s v="110700102144"/>
    <s v="10003250002038"/>
    <d v="2025-02-05T00:00:00"/>
    <d v="2025-03-07T00:00:00"/>
    <n v="-7"/>
    <n v="175.13"/>
    <x v="1"/>
    <s v=""/>
    <s v=""/>
    <s v=""/>
  </r>
  <r>
    <x v="1"/>
    <s v="648970"/>
    <x v="18"/>
    <s v="110700102145"/>
    <s v="10003250002039"/>
    <d v="2025-02-05T00:00:00"/>
    <d v="2025-03-07T00:00:00"/>
    <n v="-7"/>
    <n v="630.88"/>
    <x v="1"/>
    <s v=""/>
    <s v=""/>
    <s v=""/>
  </r>
  <r>
    <x v="1"/>
    <s v="648970"/>
    <x v="18"/>
    <s v="110700102146"/>
    <s v="10003250002040"/>
    <d v="2025-02-05T00:00:00"/>
    <d v="2025-03-22T00:00:00"/>
    <n v="-22"/>
    <n v="5.26"/>
    <x v="1"/>
    <s v=""/>
    <s v=""/>
    <s v=""/>
  </r>
  <r>
    <x v="1"/>
    <s v="648970"/>
    <x v="18"/>
    <s v="110700102147"/>
    <s v="10003250002041"/>
    <d v="2025-02-05T00:00:00"/>
    <d v="2025-03-07T00:00:00"/>
    <n v="-7"/>
    <n v="558.77"/>
    <x v="1"/>
    <s v=""/>
    <s v=""/>
    <s v=""/>
  </r>
  <r>
    <x v="1"/>
    <s v="648970"/>
    <x v="18"/>
    <s v="110700102148"/>
    <s v="10003250002042"/>
    <d v="2025-02-05T00:00:00"/>
    <d v="2025-03-07T00:00:00"/>
    <n v="-7"/>
    <n v="438.18"/>
    <x v="1"/>
    <s v=""/>
    <s v=""/>
    <s v=""/>
  </r>
  <r>
    <x v="1"/>
    <s v="648970"/>
    <x v="18"/>
    <s v="110700102149"/>
    <s v="10003250002043"/>
    <d v="2025-02-05T00:00:00"/>
    <d v="2025-03-07T00:00:00"/>
    <n v="-7"/>
    <n v="596"/>
    <x v="1"/>
    <s v=""/>
    <s v=""/>
    <s v=""/>
  </r>
  <r>
    <x v="1"/>
    <s v="648970"/>
    <x v="18"/>
    <s v="110700102150"/>
    <s v="10003250002044"/>
    <d v="2025-02-05T00:00:00"/>
    <d v="2025-03-22T00:00:00"/>
    <n v="-22"/>
    <n v="2011.97"/>
    <x v="1"/>
    <s v=""/>
    <s v=""/>
    <s v=""/>
  </r>
  <r>
    <x v="1"/>
    <s v="648970"/>
    <x v="18"/>
    <s v="110700102151"/>
    <s v="10003250002045"/>
    <d v="2025-02-05T00:00:00"/>
    <d v="2025-03-07T00:00:00"/>
    <n v="-7"/>
    <n v="307.97000000000003"/>
    <x v="1"/>
    <s v=""/>
    <s v=""/>
    <s v=""/>
  </r>
  <r>
    <x v="1"/>
    <s v="648970"/>
    <x v="18"/>
    <s v="110700102152"/>
    <s v="10003250002046"/>
    <d v="2025-02-05T00:00:00"/>
    <d v="2025-03-07T00:00:00"/>
    <n v="-7"/>
    <n v="2337.91"/>
    <x v="1"/>
    <s v=""/>
    <s v=""/>
    <s v=""/>
  </r>
  <r>
    <x v="1"/>
    <s v="648970"/>
    <x v="18"/>
    <s v="110700102153"/>
    <s v="10003250002047"/>
    <d v="2025-02-05T00:00:00"/>
    <d v="2025-03-22T00:00:00"/>
    <n v="-22"/>
    <n v="1027.43"/>
    <x v="1"/>
    <s v=""/>
    <s v=""/>
    <s v=""/>
  </r>
  <r>
    <x v="1"/>
    <s v="648970"/>
    <x v="18"/>
    <s v="110700102154"/>
    <s v="10003250002048"/>
    <d v="2025-02-05T00:00:00"/>
    <d v="2025-03-22T00:00:00"/>
    <n v="-22"/>
    <n v="624.25"/>
    <x v="1"/>
    <s v=""/>
    <s v=""/>
    <s v=""/>
  </r>
  <r>
    <x v="1"/>
    <s v="648970"/>
    <x v="18"/>
    <s v="110700102155"/>
    <s v="10003250002049"/>
    <d v="2025-02-05T00:00:00"/>
    <d v="2025-03-07T00:00:00"/>
    <n v="-7"/>
    <n v="490.5"/>
    <x v="1"/>
    <s v=""/>
    <s v=""/>
    <s v=""/>
  </r>
  <r>
    <x v="1"/>
    <s v="648970"/>
    <x v="18"/>
    <s v="110700102156"/>
    <s v="10003250002050"/>
    <d v="2025-02-05T00:00:00"/>
    <d v="2025-03-22T00:00:00"/>
    <n v="-22"/>
    <n v="266.70999999999998"/>
    <x v="1"/>
    <s v=""/>
    <s v=""/>
    <s v=""/>
  </r>
  <r>
    <x v="1"/>
    <s v="648970"/>
    <x v="18"/>
    <s v="110700102157"/>
    <s v="10003250002051"/>
    <d v="2025-02-05T00:00:00"/>
    <d v="2025-03-22T00:00:00"/>
    <n v="-22"/>
    <n v="920.15"/>
    <x v="1"/>
    <s v=""/>
    <s v=""/>
    <s v=""/>
  </r>
  <r>
    <x v="1"/>
    <s v="648970"/>
    <x v="18"/>
    <s v="110700102158"/>
    <s v="10003250002052"/>
    <d v="2025-02-05T00:00:00"/>
    <d v="2025-03-22T00:00:00"/>
    <n v="-22"/>
    <n v="201.6"/>
    <x v="1"/>
    <s v=""/>
    <s v=""/>
    <s v=""/>
  </r>
  <r>
    <x v="1"/>
    <s v="648970"/>
    <x v="18"/>
    <s v="110700102159"/>
    <s v="10003250002053"/>
    <d v="2025-02-05T00:00:00"/>
    <d v="2025-03-22T00:00:00"/>
    <n v="-22"/>
    <n v="115.5"/>
    <x v="1"/>
    <s v=""/>
    <s v=""/>
    <s v=""/>
  </r>
  <r>
    <x v="1"/>
    <s v="648970"/>
    <x v="18"/>
    <s v="110700102160"/>
    <s v="10003250002054"/>
    <d v="2025-02-05T00:00:00"/>
    <d v="2025-03-07T00:00:00"/>
    <n v="-7"/>
    <n v="290.52999999999997"/>
    <x v="1"/>
    <s v=""/>
    <s v=""/>
    <s v=""/>
  </r>
  <r>
    <x v="1"/>
    <s v="648970"/>
    <x v="18"/>
    <s v="110700102161"/>
    <s v="10003250002055"/>
    <d v="2025-02-05T00:00:00"/>
    <d v="2025-03-07T00:00:00"/>
    <n v="-7"/>
    <n v="173.7"/>
    <x v="1"/>
    <s v=""/>
    <s v=""/>
    <s v=""/>
  </r>
  <r>
    <x v="1"/>
    <s v="648970"/>
    <x v="18"/>
    <s v="110700102162"/>
    <s v="10003250002056"/>
    <d v="2025-02-05T00:00:00"/>
    <d v="2025-03-07T00:00:00"/>
    <n v="-7"/>
    <n v="40.5"/>
    <x v="1"/>
    <s v=""/>
    <s v=""/>
    <s v=""/>
  </r>
  <r>
    <x v="1"/>
    <s v="648970"/>
    <x v="18"/>
    <s v="110700102163"/>
    <s v="10003250002057"/>
    <d v="2025-02-05T00:00:00"/>
    <d v="2025-03-07T00:00:00"/>
    <n v="-7"/>
    <n v="79.5"/>
    <x v="1"/>
    <s v=""/>
    <s v=""/>
    <s v=""/>
  </r>
  <r>
    <x v="1"/>
    <s v="648970"/>
    <x v="18"/>
    <s v="110700102164"/>
    <s v="10003250002058"/>
    <d v="2025-02-05T00:00:00"/>
    <d v="2025-03-07T00:00:00"/>
    <n v="-7"/>
    <n v="119.58"/>
    <x v="1"/>
    <s v=""/>
    <s v=""/>
    <s v=""/>
  </r>
  <r>
    <x v="1"/>
    <s v="648970"/>
    <x v="18"/>
    <s v="110700102165"/>
    <s v="10003250002059"/>
    <d v="2025-02-05T00:00:00"/>
    <d v="2025-03-07T00:00:00"/>
    <n v="-7"/>
    <n v="200.92"/>
    <x v="1"/>
    <s v=""/>
    <s v=""/>
    <s v=""/>
  </r>
  <r>
    <x v="1"/>
    <s v="648970"/>
    <x v="18"/>
    <s v="110700102166"/>
    <s v="10003250002060"/>
    <d v="2025-02-05T00:00:00"/>
    <d v="2025-03-07T00:00:00"/>
    <n v="-7"/>
    <n v="302.10000000000002"/>
    <x v="1"/>
    <s v=""/>
    <s v=""/>
    <s v=""/>
  </r>
  <r>
    <x v="1"/>
    <s v="648970"/>
    <x v="18"/>
    <s v="110700102167"/>
    <s v="10003250002061"/>
    <d v="2025-02-05T00:00:00"/>
    <d v="2025-03-07T00:00:00"/>
    <n v="-7"/>
    <n v="179.26"/>
    <x v="1"/>
    <s v=""/>
    <s v=""/>
    <s v=""/>
  </r>
  <r>
    <x v="1"/>
    <s v="648970"/>
    <x v="18"/>
    <s v="110700102168"/>
    <s v="10003250002062"/>
    <d v="2025-02-05T00:00:00"/>
    <d v="2025-03-07T00:00:00"/>
    <n v="-7"/>
    <n v="201"/>
    <x v="1"/>
    <s v=""/>
    <s v=""/>
    <s v=""/>
  </r>
  <r>
    <x v="1"/>
    <s v="648970"/>
    <x v="18"/>
    <s v="110700102169"/>
    <s v="10003250002063"/>
    <d v="2025-02-05T00:00:00"/>
    <d v="2025-03-22T00:00:00"/>
    <n v="-22"/>
    <n v="120"/>
    <x v="1"/>
    <s v=""/>
    <s v=""/>
    <s v=""/>
  </r>
  <r>
    <x v="1"/>
    <s v="648970"/>
    <x v="18"/>
    <s v="110700102170"/>
    <s v="10003250002064"/>
    <d v="2025-02-05T00:00:00"/>
    <d v="2025-03-22T00:00:00"/>
    <n v="-22"/>
    <n v="349.5"/>
    <x v="1"/>
    <s v=""/>
    <s v=""/>
    <s v=""/>
  </r>
  <r>
    <x v="1"/>
    <s v="648970"/>
    <x v="18"/>
    <s v="110700102171"/>
    <s v="10003250002065"/>
    <d v="2025-02-05T00:00:00"/>
    <d v="2025-03-22T00:00:00"/>
    <n v="-22"/>
    <n v="256.33999999999997"/>
    <x v="1"/>
    <s v=""/>
    <s v=""/>
    <s v=""/>
  </r>
  <r>
    <x v="1"/>
    <s v="648970"/>
    <x v="18"/>
    <s v="110700102172"/>
    <s v="10003250002066"/>
    <d v="2025-02-05T00:00:00"/>
    <d v="2025-03-22T00:00:00"/>
    <n v="-22"/>
    <n v="320.58"/>
    <x v="1"/>
    <s v=""/>
    <s v=""/>
    <s v=""/>
  </r>
  <r>
    <x v="1"/>
    <s v="648970"/>
    <x v="18"/>
    <s v="110700102173"/>
    <s v="10003250002067"/>
    <d v="2025-02-05T00:00:00"/>
    <d v="2025-03-22T00:00:00"/>
    <n v="-22"/>
    <n v="240.11"/>
    <x v="1"/>
    <s v=""/>
    <s v=""/>
    <s v=""/>
  </r>
  <r>
    <x v="1"/>
    <s v="648970"/>
    <x v="18"/>
    <s v="110700102174"/>
    <s v="10003250002068"/>
    <d v="2025-02-05T00:00:00"/>
    <d v="2025-03-07T00:00:00"/>
    <n v="-7"/>
    <n v="642.01"/>
    <x v="1"/>
    <s v=""/>
    <s v=""/>
    <s v=""/>
  </r>
  <r>
    <x v="1"/>
    <s v="648970"/>
    <x v="18"/>
    <s v="110700102175"/>
    <s v="10003250002069"/>
    <d v="2025-02-05T00:00:00"/>
    <d v="2025-03-07T00:00:00"/>
    <n v="-7"/>
    <n v="1336.85"/>
    <x v="1"/>
    <s v=""/>
    <s v=""/>
    <s v=""/>
  </r>
  <r>
    <x v="1"/>
    <s v="648970"/>
    <x v="18"/>
    <s v="110700102176"/>
    <s v="10003250002070"/>
    <d v="2025-02-05T00:00:00"/>
    <d v="2025-03-07T00:00:00"/>
    <n v="-7"/>
    <n v="177.98"/>
    <x v="1"/>
    <s v=""/>
    <s v=""/>
    <s v=""/>
  </r>
  <r>
    <x v="1"/>
    <s v="648970"/>
    <x v="18"/>
    <s v="110700102177"/>
    <s v="10003250002071"/>
    <d v="2025-02-05T00:00:00"/>
    <d v="2025-03-22T00:00:00"/>
    <n v="-22"/>
    <n v="94.03"/>
    <x v="1"/>
    <s v=""/>
    <s v=""/>
    <s v=""/>
  </r>
  <r>
    <x v="1"/>
    <s v="648970"/>
    <x v="18"/>
    <s v="110700102178"/>
    <s v="10003250002072"/>
    <d v="2025-02-05T00:00:00"/>
    <d v="2025-03-22T00:00:00"/>
    <n v="-22"/>
    <n v="476.75"/>
    <x v="1"/>
    <s v=""/>
    <s v=""/>
    <s v=""/>
  </r>
  <r>
    <x v="1"/>
    <s v="648970"/>
    <x v="18"/>
    <s v="110700102179"/>
    <s v="10003250002073"/>
    <d v="2025-02-05T00:00:00"/>
    <d v="2025-03-22T00:00:00"/>
    <n v="-22"/>
    <n v="524.71"/>
    <x v="1"/>
    <s v=""/>
    <s v=""/>
    <s v=""/>
  </r>
  <r>
    <x v="1"/>
    <s v="648970"/>
    <x v="18"/>
    <s v="110700102180"/>
    <s v="10003250002074"/>
    <d v="2025-02-05T00:00:00"/>
    <d v="2025-03-22T00:00:00"/>
    <n v="-22"/>
    <n v="335.82"/>
    <x v="1"/>
    <s v=""/>
    <s v=""/>
    <s v=""/>
  </r>
  <r>
    <x v="1"/>
    <s v="648970"/>
    <x v="18"/>
    <s v="110700102181"/>
    <s v="10003250002075"/>
    <d v="2025-02-05T00:00:00"/>
    <d v="2025-03-07T00:00:00"/>
    <n v="-7"/>
    <n v="38.28"/>
    <x v="1"/>
    <s v=""/>
    <s v=""/>
    <s v=""/>
  </r>
  <r>
    <x v="1"/>
    <s v="648970"/>
    <x v="18"/>
    <s v="110700102182"/>
    <s v="10003250002076"/>
    <d v="2025-02-05T00:00:00"/>
    <d v="2025-03-22T00:00:00"/>
    <n v="-22"/>
    <n v="90.67"/>
    <x v="1"/>
    <s v=""/>
    <s v=""/>
    <s v=""/>
  </r>
  <r>
    <x v="1"/>
    <s v="648970"/>
    <x v="18"/>
    <s v="110700102183"/>
    <s v="10003250002077"/>
    <d v="2025-02-05T00:00:00"/>
    <d v="2025-03-07T00:00:00"/>
    <n v="-7"/>
    <n v="38.28"/>
    <x v="1"/>
    <s v=""/>
    <s v=""/>
    <s v=""/>
  </r>
  <r>
    <x v="1"/>
    <s v="648970"/>
    <x v="18"/>
    <s v="110700102184"/>
    <s v="10003250002078"/>
    <d v="2025-02-05T00:00:00"/>
    <d v="2025-03-07T00:00:00"/>
    <n v="-7"/>
    <n v="453.72"/>
    <x v="1"/>
    <s v=""/>
    <s v=""/>
    <s v=""/>
  </r>
  <r>
    <x v="1"/>
    <s v="648970"/>
    <x v="18"/>
    <s v="110700102185"/>
    <s v="10003250002079"/>
    <d v="2025-02-05T00:00:00"/>
    <d v="2025-03-07T00:00:00"/>
    <n v="-7"/>
    <n v="489.8"/>
    <x v="1"/>
    <s v=""/>
    <s v=""/>
    <s v=""/>
  </r>
  <r>
    <x v="1"/>
    <s v="648970"/>
    <x v="18"/>
    <s v="110700102186"/>
    <s v="10003250002080"/>
    <d v="2025-02-05T00:00:00"/>
    <d v="2025-03-07T00:00:00"/>
    <n v="-7"/>
    <n v="228.36"/>
    <x v="1"/>
    <s v=""/>
    <s v=""/>
    <s v=""/>
  </r>
  <r>
    <x v="1"/>
    <s v="648970"/>
    <x v="18"/>
    <s v="110700102187"/>
    <s v="10003250002081"/>
    <d v="2025-02-05T00:00:00"/>
    <d v="2025-03-22T00:00:00"/>
    <n v="-22"/>
    <n v="90.67"/>
    <x v="1"/>
    <s v=""/>
    <s v=""/>
    <s v=""/>
  </r>
  <r>
    <x v="1"/>
    <s v="648970"/>
    <x v="18"/>
    <s v="110700102188"/>
    <s v="10003250002082"/>
    <d v="2025-02-05T00:00:00"/>
    <d v="2025-03-22T00:00:00"/>
    <n v="-22"/>
    <n v="349.25"/>
    <x v="1"/>
    <s v=""/>
    <s v=""/>
    <s v=""/>
  </r>
  <r>
    <x v="1"/>
    <s v="648970"/>
    <x v="18"/>
    <s v="110700102189"/>
    <s v="10003250002083"/>
    <d v="2025-02-05T00:00:00"/>
    <d v="2025-03-22T00:00:00"/>
    <n v="-22"/>
    <n v="47.02"/>
    <x v="1"/>
    <s v=""/>
    <s v=""/>
    <s v=""/>
  </r>
  <r>
    <x v="1"/>
    <s v="648970"/>
    <x v="18"/>
    <s v="110700102190"/>
    <s v="10003250002084"/>
    <d v="2025-02-05T00:00:00"/>
    <d v="2025-03-22T00:00:00"/>
    <n v="-22"/>
    <n v="54.07"/>
    <x v="1"/>
    <s v=""/>
    <s v=""/>
    <s v=""/>
  </r>
  <r>
    <x v="1"/>
    <s v="648970"/>
    <x v="18"/>
    <s v="110700102191"/>
    <s v="10003250002085"/>
    <d v="2025-02-05T00:00:00"/>
    <d v="2025-03-22T00:00:00"/>
    <n v="-22"/>
    <n v="90.67"/>
    <x v="1"/>
    <s v=""/>
    <s v=""/>
    <s v=""/>
  </r>
  <r>
    <x v="1"/>
    <s v="648970"/>
    <x v="18"/>
    <s v="110700102192"/>
    <s v="10003250002086"/>
    <d v="2025-02-05T00:00:00"/>
    <d v="2025-03-22T00:00:00"/>
    <n v="-22"/>
    <n v="90.67"/>
    <x v="1"/>
    <s v=""/>
    <s v=""/>
    <s v=""/>
  </r>
  <r>
    <x v="1"/>
    <s v="648970"/>
    <x v="18"/>
    <s v="110700102193"/>
    <s v="10003250002087"/>
    <d v="2025-02-05T00:00:00"/>
    <d v="2025-03-22T00:00:00"/>
    <n v="-22"/>
    <n v="136.01"/>
    <x v="1"/>
    <s v=""/>
    <s v=""/>
    <s v=""/>
  </r>
  <r>
    <x v="1"/>
    <s v="648970"/>
    <x v="18"/>
    <s v="110700102194"/>
    <s v="10003250002088"/>
    <d v="2025-02-05T00:00:00"/>
    <d v="2025-03-22T00:00:00"/>
    <n v="-22"/>
    <n v="453.01"/>
    <x v="1"/>
    <s v=""/>
    <s v=""/>
    <s v=""/>
  </r>
  <r>
    <x v="1"/>
    <s v="648970"/>
    <x v="18"/>
    <s v="110700102195"/>
    <s v="10003250002089"/>
    <d v="2025-02-05T00:00:00"/>
    <d v="2025-03-22T00:00:00"/>
    <n v="-22"/>
    <n v="47.02"/>
    <x v="1"/>
    <s v=""/>
    <s v=""/>
    <s v=""/>
  </r>
  <r>
    <x v="1"/>
    <s v="648970"/>
    <x v="18"/>
    <s v="110700102196"/>
    <s v="10003250002090"/>
    <d v="2025-02-05T00:00:00"/>
    <d v="2025-03-22T00:00:00"/>
    <n v="-22"/>
    <n v="33.25"/>
    <x v="1"/>
    <s v=""/>
    <s v=""/>
    <s v=""/>
  </r>
  <r>
    <x v="1"/>
    <s v="648970"/>
    <x v="18"/>
    <s v="110700102197"/>
    <s v="10003250002091"/>
    <d v="2025-02-05T00:00:00"/>
    <d v="2025-03-07T00:00:00"/>
    <n v="-7"/>
    <n v="181.34"/>
    <x v="1"/>
    <s v=""/>
    <s v=""/>
    <s v=""/>
  </r>
  <r>
    <x v="1"/>
    <s v="648970"/>
    <x v="18"/>
    <s v="110700102198"/>
    <s v="10003250002092"/>
    <d v="2025-02-05T00:00:00"/>
    <d v="2025-03-22T00:00:00"/>
    <n v="-22"/>
    <n v="45.34"/>
    <x v="1"/>
    <s v=""/>
    <s v=""/>
    <s v=""/>
  </r>
  <r>
    <x v="1"/>
    <s v="648970"/>
    <x v="18"/>
    <s v="110700102199"/>
    <s v="10003250002093"/>
    <d v="2025-02-05T00:00:00"/>
    <d v="2025-03-07T00:00:00"/>
    <n v="-7"/>
    <n v="90.67"/>
    <x v="1"/>
    <s v=""/>
    <s v=""/>
    <s v=""/>
  </r>
  <r>
    <x v="1"/>
    <s v="648970"/>
    <x v="18"/>
    <s v="110700102200"/>
    <s v="10003250002094"/>
    <d v="2025-02-05T00:00:00"/>
    <d v="2025-03-07T00:00:00"/>
    <n v="-7"/>
    <n v="134.13999999999999"/>
    <x v="1"/>
    <s v=""/>
    <s v=""/>
    <s v=""/>
  </r>
  <r>
    <x v="1"/>
    <s v="648970"/>
    <x v="18"/>
    <s v="110700102201"/>
    <s v="10003250002095"/>
    <d v="2025-02-05T00:00:00"/>
    <d v="2025-03-07T00:00:00"/>
    <n v="-7"/>
    <n v="1212.06"/>
    <x v="1"/>
    <s v=""/>
    <s v=""/>
    <s v=""/>
  </r>
  <r>
    <x v="1"/>
    <s v="648970"/>
    <x v="18"/>
    <s v="110700102202"/>
    <s v="10003250002096"/>
    <d v="2025-02-05T00:00:00"/>
    <d v="2025-03-07T00:00:00"/>
    <n v="-7"/>
    <n v="1146.76"/>
    <x v="1"/>
    <s v=""/>
    <s v=""/>
    <s v=""/>
  </r>
  <r>
    <x v="1"/>
    <s v="648970"/>
    <x v="18"/>
    <s v="110700102203"/>
    <s v="10003250002097"/>
    <d v="2025-02-05T00:00:00"/>
    <d v="2025-03-07T00:00:00"/>
    <n v="-7"/>
    <n v="254.68"/>
    <x v="1"/>
    <s v=""/>
    <s v=""/>
    <s v=""/>
  </r>
  <r>
    <x v="1"/>
    <s v="648970"/>
    <x v="18"/>
    <s v="110700102204"/>
    <s v="10003250002098"/>
    <d v="2025-02-05T00:00:00"/>
    <d v="2025-03-07T00:00:00"/>
    <n v="-7"/>
    <n v="181.97"/>
    <x v="1"/>
    <s v=""/>
    <s v=""/>
    <s v=""/>
  </r>
  <r>
    <x v="1"/>
    <s v="648970"/>
    <x v="18"/>
    <s v="110700102205"/>
    <s v="10003250002099"/>
    <d v="2025-02-05T00:00:00"/>
    <d v="2025-03-07T00:00:00"/>
    <n v="-7"/>
    <n v="733.9"/>
    <x v="1"/>
    <s v=""/>
    <s v=""/>
    <s v=""/>
  </r>
  <r>
    <x v="1"/>
    <s v="648970"/>
    <x v="18"/>
    <s v="110700102206"/>
    <s v="10003250002100"/>
    <d v="2025-02-05T00:00:00"/>
    <d v="2025-03-07T00:00:00"/>
    <n v="-7"/>
    <n v="181.34"/>
    <x v="1"/>
    <s v=""/>
    <s v=""/>
    <s v=""/>
  </r>
  <r>
    <x v="1"/>
    <s v="648970"/>
    <x v="18"/>
    <s v="110700102207"/>
    <s v="10003250002101"/>
    <d v="2025-02-05T00:00:00"/>
    <d v="2025-03-07T00:00:00"/>
    <n v="-7"/>
    <n v="913.99"/>
    <x v="1"/>
    <s v=""/>
    <s v=""/>
    <s v=""/>
  </r>
  <r>
    <x v="1"/>
    <s v="648970"/>
    <x v="18"/>
    <s v="110700102208"/>
    <s v="10003250002102"/>
    <d v="2025-02-05T00:00:00"/>
    <d v="2025-03-07T00:00:00"/>
    <n v="-7"/>
    <n v="580.67999999999995"/>
    <x v="1"/>
    <s v=""/>
    <s v=""/>
    <s v=""/>
  </r>
  <r>
    <x v="1"/>
    <s v="648970"/>
    <x v="18"/>
    <s v="110700102209"/>
    <s v="10003250002103"/>
    <d v="2025-02-05T00:00:00"/>
    <d v="2025-03-07T00:00:00"/>
    <n v="-7"/>
    <n v="67.16"/>
    <x v="1"/>
    <s v=""/>
    <s v=""/>
    <s v=""/>
  </r>
  <r>
    <x v="1"/>
    <s v="648970"/>
    <x v="18"/>
    <s v="110700102210"/>
    <s v="10003250002104"/>
    <d v="2025-02-05T00:00:00"/>
    <d v="2025-03-07T00:00:00"/>
    <n v="-7"/>
    <n v="430.21"/>
    <x v="1"/>
    <s v=""/>
    <s v=""/>
    <s v=""/>
  </r>
  <r>
    <x v="1"/>
    <s v="648970"/>
    <x v="18"/>
    <s v="110700102211"/>
    <s v="10003250002105"/>
    <d v="2025-02-05T00:00:00"/>
    <d v="2025-03-07T00:00:00"/>
    <n v="-7"/>
    <n v="746.03"/>
    <x v="1"/>
    <s v=""/>
    <s v=""/>
    <s v=""/>
  </r>
  <r>
    <x v="1"/>
    <s v="648970"/>
    <x v="18"/>
    <s v="110700102212"/>
    <s v="10003250002106"/>
    <d v="2025-02-05T00:00:00"/>
    <d v="2025-03-07T00:00:00"/>
    <n v="-7"/>
    <n v="360.28"/>
    <x v="1"/>
    <s v=""/>
    <s v=""/>
    <s v=""/>
  </r>
  <r>
    <x v="1"/>
    <s v="648970"/>
    <x v="18"/>
    <s v="110700102213"/>
    <s v="10003250002107"/>
    <d v="2025-02-05T00:00:00"/>
    <d v="2025-03-07T00:00:00"/>
    <n v="-7"/>
    <n v="257.06"/>
    <x v="1"/>
    <s v=""/>
    <s v=""/>
    <s v=""/>
  </r>
  <r>
    <x v="1"/>
    <s v="648970"/>
    <x v="18"/>
    <s v="110700102214"/>
    <s v="10003250002108"/>
    <d v="2025-02-05T00:00:00"/>
    <d v="2025-03-07T00:00:00"/>
    <n v="-7"/>
    <n v="180.67"/>
    <x v="1"/>
    <s v=""/>
    <s v=""/>
    <s v=""/>
  </r>
  <r>
    <x v="1"/>
    <s v="648970"/>
    <x v="18"/>
    <s v="110700102215"/>
    <s v="10003250002109"/>
    <d v="2025-02-05T00:00:00"/>
    <d v="2025-03-07T00:00:00"/>
    <n v="-7"/>
    <n v="42.88"/>
    <x v="1"/>
    <s v=""/>
    <s v=""/>
    <s v=""/>
  </r>
  <r>
    <x v="1"/>
    <s v="648970"/>
    <x v="18"/>
    <s v="110700102216"/>
    <s v="10003250002110"/>
    <d v="2025-02-05T00:00:00"/>
    <d v="2025-03-07T00:00:00"/>
    <n v="-7"/>
    <n v="417.34"/>
    <x v="1"/>
    <s v=""/>
    <s v=""/>
    <s v=""/>
  </r>
  <r>
    <x v="1"/>
    <s v="648970"/>
    <x v="18"/>
    <s v="110700102217"/>
    <s v="10003250002111"/>
    <d v="2025-02-05T00:00:00"/>
    <d v="2025-03-07T00:00:00"/>
    <n v="-7"/>
    <n v="148.68"/>
    <x v="1"/>
    <s v=""/>
    <s v=""/>
    <s v=""/>
  </r>
  <r>
    <x v="1"/>
    <s v="648970"/>
    <x v="18"/>
    <s v="110700102218"/>
    <s v="10003250002112"/>
    <d v="2025-02-05T00:00:00"/>
    <d v="2025-03-07T00:00:00"/>
    <n v="-7"/>
    <n v="264.10000000000002"/>
    <x v="1"/>
    <s v=""/>
    <s v=""/>
    <s v=""/>
  </r>
  <r>
    <x v="1"/>
    <s v="648970"/>
    <x v="18"/>
    <s v="110700102219"/>
    <s v="10003250002113"/>
    <d v="2025-02-05T00:00:00"/>
    <d v="2025-03-07T00:00:00"/>
    <n v="-7"/>
    <n v="45.65"/>
    <x v="1"/>
    <s v=""/>
    <s v=""/>
    <s v=""/>
  </r>
  <r>
    <x v="1"/>
    <s v="648970"/>
    <x v="18"/>
    <s v="110700102220"/>
    <s v="10003250002114"/>
    <d v="2025-02-05T00:00:00"/>
    <d v="2025-03-07T00:00:00"/>
    <n v="-7"/>
    <n v="2532.91"/>
    <x v="1"/>
    <s v=""/>
    <s v=""/>
    <s v=""/>
  </r>
  <r>
    <x v="1"/>
    <s v="648970"/>
    <x v="18"/>
    <s v="110700102221"/>
    <s v="10003250002115"/>
    <d v="2025-02-05T00:00:00"/>
    <d v="2025-03-22T00:00:00"/>
    <n v="-22"/>
    <n v="2966.7"/>
    <x v="1"/>
    <s v=""/>
    <s v=""/>
    <s v=""/>
  </r>
  <r>
    <x v="1"/>
    <s v="648970"/>
    <x v="18"/>
    <s v="110700102222"/>
    <s v="10003250002116"/>
    <d v="2025-02-05T00:00:00"/>
    <d v="2025-03-07T00:00:00"/>
    <n v="-7"/>
    <n v="475.37"/>
    <x v="1"/>
    <s v=""/>
    <s v=""/>
    <s v=""/>
  </r>
  <r>
    <x v="1"/>
    <s v="648970"/>
    <x v="18"/>
    <s v="110700102223"/>
    <s v="10003250002117"/>
    <d v="2025-02-05T00:00:00"/>
    <d v="2025-03-07T00:00:00"/>
    <n v="-7"/>
    <n v="183.19"/>
    <x v="1"/>
    <s v=""/>
    <s v=""/>
    <s v=""/>
  </r>
  <r>
    <x v="1"/>
    <s v="648970"/>
    <x v="18"/>
    <s v="110700102224"/>
    <s v="10003250002118"/>
    <d v="2025-02-05T00:00:00"/>
    <d v="2025-03-07T00:00:00"/>
    <n v="-7"/>
    <n v="140.81"/>
    <x v="1"/>
    <s v=""/>
    <s v=""/>
    <s v=""/>
  </r>
  <r>
    <x v="1"/>
    <s v="648970"/>
    <x v="18"/>
    <s v="110700102225"/>
    <s v="10003250002119"/>
    <d v="2025-02-05T00:00:00"/>
    <d v="2025-03-07T00:00:00"/>
    <n v="-7"/>
    <n v="225.18"/>
    <x v="1"/>
    <s v=""/>
    <s v=""/>
    <s v=""/>
  </r>
  <r>
    <x v="1"/>
    <s v="648970"/>
    <x v="18"/>
    <s v="110700102226"/>
    <s v="10003250002120"/>
    <d v="2025-02-05T00:00:00"/>
    <d v="2025-03-22T00:00:00"/>
    <n v="-22"/>
    <n v="1115.32"/>
    <x v="1"/>
    <s v=""/>
    <s v=""/>
    <s v=""/>
  </r>
  <r>
    <x v="1"/>
    <s v="648970"/>
    <x v="18"/>
    <s v="110700102227"/>
    <s v="10003250002121"/>
    <d v="2025-02-05T00:00:00"/>
    <d v="2025-03-07T00:00:00"/>
    <n v="-7"/>
    <n v="1109.95"/>
    <x v="1"/>
    <s v=""/>
    <s v=""/>
    <s v=""/>
  </r>
  <r>
    <x v="1"/>
    <s v="648970"/>
    <x v="18"/>
    <s v="110700102228"/>
    <s v="10003250002122"/>
    <d v="2025-02-05T00:00:00"/>
    <d v="2025-03-07T00:00:00"/>
    <n v="-7"/>
    <n v="587.02"/>
    <x v="1"/>
    <s v=""/>
    <s v=""/>
    <s v=""/>
  </r>
  <r>
    <x v="1"/>
    <s v="648970"/>
    <x v="18"/>
    <s v="110700102229"/>
    <s v="10003250002123"/>
    <d v="2025-02-05T00:00:00"/>
    <d v="2025-03-07T00:00:00"/>
    <n v="-7"/>
    <n v="251.51"/>
    <x v="1"/>
    <s v=""/>
    <s v=""/>
    <s v=""/>
  </r>
  <r>
    <x v="1"/>
    <s v="648970"/>
    <x v="18"/>
    <s v="110700102230"/>
    <s v="10003250002124"/>
    <d v="2025-02-05T00:00:00"/>
    <d v="2025-03-07T00:00:00"/>
    <n v="-7"/>
    <n v="273.24"/>
    <x v="1"/>
    <s v=""/>
    <s v=""/>
    <s v=""/>
  </r>
  <r>
    <x v="1"/>
    <s v="648970"/>
    <x v="18"/>
    <s v="110700102231"/>
    <s v="10003250002125"/>
    <d v="2025-02-05T00:00:00"/>
    <d v="2025-03-07T00:00:00"/>
    <n v="-7"/>
    <n v="251.51"/>
    <x v="1"/>
    <s v=""/>
    <s v=""/>
    <s v=""/>
  </r>
  <r>
    <x v="1"/>
    <s v="648970"/>
    <x v="18"/>
    <s v="110700102232"/>
    <s v="10003250002126"/>
    <d v="2025-02-05T00:00:00"/>
    <d v="2025-03-07T00:00:00"/>
    <n v="-7"/>
    <n v="47.26"/>
    <x v="1"/>
    <s v=""/>
    <s v=""/>
    <s v=""/>
  </r>
  <r>
    <x v="1"/>
    <s v="648970"/>
    <x v="18"/>
    <s v="110700102233"/>
    <s v="10003250002127"/>
    <d v="2025-02-05T00:00:00"/>
    <d v="2025-03-07T00:00:00"/>
    <n v="-7"/>
    <n v="86.26"/>
    <x v="1"/>
    <s v=""/>
    <s v=""/>
    <s v=""/>
  </r>
  <r>
    <x v="1"/>
    <s v="648970"/>
    <x v="18"/>
    <s v="110700102234"/>
    <s v="10003250002128"/>
    <d v="2025-02-05T00:00:00"/>
    <d v="2025-03-07T00:00:00"/>
    <n v="-7"/>
    <n v="86.26"/>
    <x v="1"/>
    <s v=""/>
    <s v=""/>
    <s v=""/>
  </r>
  <r>
    <x v="1"/>
    <s v="648970"/>
    <x v="18"/>
    <s v="110700102235"/>
    <s v="10003250002129"/>
    <d v="2025-02-05T00:00:00"/>
    <d v="2025-03-07T00:00:00"/>
    <n v="-7"/>
    <n v="81"/>
    <x v="1"/>
    <s v=""/>
    <s v=""/>
    <s v=""/>
  </r>
  <r>
    <x v="1"/>
    <s v="648970"/>
    <x v="18"/>
    <s v="110700102236"/>
    <s v="10003250002130"/>
    <d v="2025-02-05T00:00:00"/>
    <d v="2025-03-07T00:00:00"/>
    <n v="-7"/>
    <n v="1942.8"/>
    <x v="1"/>
    <s v=""/>
    <s v=""/>
    <s v=""/>
  </r>
  <r>
    <x v="1"/>
    <s v="648970"/>
    <x v="18"/>
    <s v="110700102237"/>
    <s v="10003250002131"/>
    <d v="2025-02-05T00:00:00"/>
    <d v="2025-03-07T00:00:00"/>
    <n v="-7"/>
    <n v="86.26"/>
    <x v="1"/>
    <s v=""/>
    <s v=""/>
    <s v=""/>
  </r>
  <r>
    <x v="1"/>
    <s v="648970"/>
    <x v="18"/>
    <s v="110700102238"/>
    <s v="10003250002132"/>
    <d v="2025-02-05T00:00:00"/>
    <d v="2025-03-07T00:00:00"/>
    <n v="-7"/>
    <n v="162"/>
    <x v="1"/>
    <s v=""/>
    <s v=""/>
    <s v=""/>
  </r>
  <r>
    <x v="1"/>
    <s v="648970"/>
    <x v="18"/>
    <s v="110700102239"/>
    <s v="10003250002133"/>
    <d v="2025-02-05T00:00:00"/>
    <d v="2025-03-07T00:00:00"/>
    <n v="-7"/>
    <n v="123"/>
    <x v="1"/>
    <s v=""/>
    <s v=""/>
    <s v=""/>
  </r>
  <r>
    <x v="1"/>
    <s v="648970"/>
    <x v="18"/>
    <s v="110700102240"/>
    <s v="10003250002134"/>
    <d v="2025-02-05T00:00:00"/>
    <d v="2025-03-07T00:00:00"/>
    <n v="-7"/>
    <n v="244.5"/>
    <x v="1"/>
    <s v=""/>
    <s v=""/>
    <s v=""/>
  </r>
  <r>
    <x v="1"/>
    <s v="648970"/>
    <x v="18"/>
    <s v="110700102241"/>
    <s v="10003250002135"/>
    <d v="2025-02-05T00:00:00"/>
    <d v="2025-03-07T00:00:00"/>
    <n v="-7"/>
    <n v="57"/>
    <x v="1"/>
    <s v=""/>
    <s v=""/>
    <s v=""/>
  </r>
  <r>
    <x v="1"/>
    <s v="648970"/>
    <x v="18"/>
    <s v="110700102242"/>
    <s v="10003250002136"/>
    <d v="2025-02-05T00:00:00"/>
    <d v="2025-03-07T00:00:00"/>
    <n v="-7"/>
    <n v="120"/>
    <x v="1"/>
    <s v=""/>
    <s v=""/>
    <s v=""/>
  </r>
  <r>
    <x v="1"/>
    <s v="648970"/>
    <x v="18"/>
    <s v="110700102243"/>
    <s v="10003250002137"/>
    <d v="2025-02-05T00:00:00"/>
    <d v="2025-03-07T00:00:00"/>
    <n v="-7"/>
    <n v="580.52"/>
    <x v="1"/>
    <s v=""/>
    <s v=""/>
    <s v=""/>
  </r>
  <r>
    <x v="1"/>
    <s v="648970"/>
    <x v="18"/>
    <s v="110700102244"/>
    <s v="10003250002138"/>
    <d v="2025-02-05T00:00:00"/>
    <d v="2025-03-07T00:00:00"/>
    <n v="-7"/>
    <n v="1289.4000000000001"/>
    <x v="1"/>
    <s v=""/>
    <s v=""/>
    <s v=""/>
  </r>
  <r>
    <x v="1"/>
    <s v="648970"/>
    <x v="18"/>
    <s v="110700102245"/>
    <s v="10003250002139"/>
    <d v="2025-02-05T00:00:00"/>
    <d v="2025-03-07T00:00:00"/>
    <n v="-7"/>
    <n v="96"/>
    <x v="1"/>
    <s v=""/>
    <s v=""/>
    <s v=""/>
  </r>
  <r>
    <x v="1"/>
    <s v="648970"/>
    <x v="18"/>
    <s v="110700102246"/>
    <s v="10003250002140"/>
    <d v="2025-02-05T00:00:00"/>
    <d v="2025-03-07T00:00:00"/>
    <n v="-7"/>
    <n v="37.5"/>
    <x v="1"/>
    <s v=""/>
    <s v=""/>
    <s v=""/>
  </r>
  <r>
    <x v="1"/>
    <s v="648970"/>
    <x v="18"/>
    <s v="110700102247"/>
    <s v="10003250002141"/>
    <d v="2025-02-05T00:00:00"/>
    <d v="2025-03-07T00:00:00"/>
    <n v="-7"/>
    <n v="549"/>
    <x v="1"/>
    <s v=""/>
    <s v=""/>
    <s v=""/>
  </r>
  <r>
    <x v="1"/>
    <s v="648970"/>
    <x v="18"/>
    <s v="110700102248"/>
    <s v="10003250002142"/>
    <d v="2025-02-05T00:00:00"/>
    <d v="2025-03-07T00:00:00"/>
    <n v="-7"/>
    <n v="82.5"/>
    <x v="1"/>
    <s v=""/>
    <s v=""/>
    <s v=""/>
  </r>
  <r>
    <x v="1"/>
    <s v="648970"/>
    <x v="18"/>
    <s v="110700102249"/>
    <s v="10003250002143"/>
    <d v="2025-02-05T00:00:00"/>
    <d v="2025-03-07T00:00:00"/>
    <n v="-7"/>
    <n v="445.5"/>
    <x v="1"/>
    <s v=""/>
    <s v=""/>
    <s v=""/>
  </r>
  <r>
    <x v="1"/>
    <s v="648970"/>
    <x v="18"/>
    <s v="110700102250"/>
    <s v="10003250002144"/>
    <d v="2025-02-05T00:00:00"/>
    <d v="2025-03-07T00:00:00"/>
    <n v="-7"/>
    <n v="249"/>
    <x v="1"/>
    <s v=""/>
    <s v=""/>
    <s v=""/>
  </r>
  <r>
    <x v="1"/>
    <s v="648970"/>
    <x v="18"/>
    <s v="110700102251"/>
    <s v="10003250002145"/>
    <d v="2025-02-05T00:00:00"/>
    <d v="2025-03-07T00:00:00"/>
    <n v="-7"/>
    <n v="672"/>
    <x v="1"/>
    <s v=""/>
    <s v=""/>
    <s v=""/>
  </r>
  <r>
    <x v="1"/>
    <s v="648970"/>
    <x v="18"/>
    <s v="110700102252"/>
    <s v="10003250002146"/>
    <d v="2025-02-05T00:00:00"/>
    <d v="2025-03-07T00:00:00"/>
    <n v="-7"/>
    <n v="162"/>
    <x v="1"/>
    <s v=""/>
    <s v=""/>
    <s v=""/>
  </r>
  <r>
    <x v="1"/>
    <s v="648970"/>
    <x v="18"/>
    <s v="110700102253"/>
    <s v="10003250002147"/>
    <d v="2025-02-05T00:00:00"/>
    <d v="2025-03-07T00:00:00"/>
    <n v="-7"/>
    <n v="957.6"/>
    <x v="1"/>
    <s v=""/>
    <s v=""/>
    <s v=""/>
  </r>
  <r>
    <x v="1"/>
    <s v="648970"/>
    <x v="18"/>
    <s v="110700102254"/>
    <s v="10003250002148"/>
    <d v="2025-02-05T00:00:00"/>
    <d v="2025-03-07T00:00:00"/>
    <n v="-7"/>
    <n v="367.5"/>
    <x v="1"/>
    <s v=""/>
    <s v=""/>
    <s v=""/>
  </r>
  <r>
    <x v="1"/>
    <s v="648970"/>
    <x v="18"/>
    <s v="110700102255"/>
    <s v="10003250002149"/>
    <d v="2025-02-05T00:00:00"/>
    <d v="2025-03-07T00:00:00"/>
    <n v="-7"/>
    <n v="2112"/>
    <x v="1"/>
    <s v=""/>
    <s v=""/>
    <s v=""/>
  </r>
  <r>
    <x v="1"/>
    <s v="648970"/>
    <x v="18"/>
    <s v="110700102256"/>
    <s v="10003250002150"/>
    <d v="2025-02-05T00:00:00"/>
    <d v="2025-03-07T00:00:00"/>
    <n v="-7"/>
    <n v="29.7"/>
    <x v="1"/>
    <s v=""/>
    <s v=""/>
    <s v=""/>
  </r>
  <r>
    <x v="1"/>
    <s v="648970"/>
    <x v="18"/>
    <s v="110700102257"/>
    <s v="10003250002151"/>
    <d v="2025-02-05T00:00:00"/>
    <d v="2025-03-07T00:00:00"/>
    <n v="-7"/>
    <n v="162"/>
    <x v="1"/>
    <s v=""/>
    <s v=""/>
    <s v=""/>
  </r>
  <r>
    <x v="1"/>
    <s v="648970"/>
    <x v="18"/>
    <s v="110700102258"/>
    <s v="10003250002152"/>
    <d v="2025-02-05T00:00:00"/>
    <d v="2025-03-07T00:00:00"/>
    <n v="-7"/>
    <n v="40.5"/>
    <x v="1"/>
    <s v=""/>
    <s v=""/>
    <s v=""/>
  </r>
  <r>
    <x v="1"/>
    <s v="648970"/>
    <x v="18"/>
    <s v="110700102259"/>
    <s v="10003250002153"/>
    <d v="2025-02-05T00:00:00"/>
    <d v="2025-03-07T00:00:00"/>
    <n v="-7"/>
    <n v="86.26"/>
    <x v="1"/>
    <s v=""/>
    <s v=""/>
    <s v=""/>
  </r>
  <r>
    <x v="1"/>
    <s v="648970"/>
    <x v="18"/>
    <s v="110700102260"/>
    <s v="10003250002154"/>
    <d v="2025-02-05T00:00:00"/>
    <d v="2025-03-07T00:00:00"/>
    <n v="-7"/>
    <n v="81"/>
    <x v="1"/>
    <s v=""/>
    <s v=""/>
    <s v=""/>
  </r>
  <r>
    <x v="1"/>
    <s v="648970"/>
    <x v="18"/>
    <s v="110700102261"/>
    <s v="10003250002155"/>
    <d v="2025-02-05T00:00:00"/>
    <d v="2025-03-07T00:00:00"/>
    <n v="-7"/>
    <n v="162"/>
    <x v="1"/>
    <s v=""/>
    <s v=""/>
    <s v=""/>
  </r>
  <r>
    <x v="1"/>
    <s v="648970"/>
    <x v="18"/>
    <s v="110700102262"/>
    <s v="10003250002156"/>
    <d v="2025-02-05T00:00:00"/>
    <d v="2025-03-07T00:00:00"/>
    <n v="-7"/>
    <n v="81"/>
    <x v="1"/>
    <s v=""/>
    <s v=""/>
    <s v=""/>
  </r>
  <r>
    <x v="1"/>
    <s v="648970"/>
    <x v="18"/>
    <s v="110700102263"/>
    <s v="10003250002157"/>
    <d v="2025-02-05T00:00:00"/>
    <d v="2025-03-07T00:00:00"/>
    <n v="-7"/>
    <n v="1513.8"/>
    <x v="1"/>
    <s v=""/>
    <s v=""/>
    <s v=""/>
  </r>
  <r>
    <x v="1"/>
    <s v="648970"/>
    <x v="18"/>
    <s v="110700102264"/>
    <s v="10003250002158"/>
    <d v="2025-02-05T00:00:00"/>
    <d v="2025-03-07T00:00:00"/>
    <n v="-7"/>
    <n v="294"/>
    <x v="1"/>
    <s v=""/>
    <s v=""/>
    <s v=""/>
  </r>
  <r>
    <x v="1"/>
    <s v="648970"/>
    <x v="18"/>
    <s v="110700102265"/>
    <s v="10003250002159"/>
    <d v="2025-02-05T00:00:00"/>
    <d v="2025-03-07T00:00:00"/>
    <n v="-7"/>
    <n v="729"/>
    <x v="1"/>
    <s v=""/>
    <s v=""/>
    <s v=""/>
  </r>
  <r>
    <x v="1"/>
    <s v="648970"/>
    <x v="18"/>
    <s v="110700102266"/>
    <s v="10003250002160"/>
    <d v="2025-02-05T00:00:00"/>
    <d v="2025-03-07T00:00:00"/>
    <n v="-7"/>
    <n v="123"/>
    <x v="1"/>
    <s v=""/>
    <s v=""/>
    <s v=""/>
  </r>
  <r>
    <x v="1"/>
    <s v="648970"/>
    <x v="18"/>
    <s v="110700102267"/>
    <s v="10003250002161"/>
    <d v="2025-02-05T00:00:00"/>
    <d v="2025-03-07T00:00:00"/>
    <n v="-7"/>
    <n v="128.26"/>
    <x v="1"/>
    <s v=""/>
    <s v=""/>
    <s v=""/>
  </r>
  <r>
    <x v="1"/>
    <s v="648970"/>
    <x v="18"/>
    <s v="110700102268"/>
    <s v="10003250002162"/>
    <d v="2025-02-05T00:00:00"/>
    <d v="2025-03-07T00:00:00"/>
    <n v="-7"/>
    <n v="87"/>
    <x v="1"/>
    <s v=""/>
    <s v=""/>
    <s v=""/>
  </r>
  <r>
    <x v="1"/>
    <s v="648970"/>
    <x v="18"/>
    <s v="110700102269"/>
    <s v="10003250002163"/>
    <d v="2025-02-05T00:00:00"/>
    <d v="2025-03-07T00:00:00"/>
    <n v="-7"/>
    <n v="7.5"/>
    <x v="1"/>
    <s v=""/>
    <s v=""/>
    <s v=""/>
  </r>
  <r>
    <x v="1"/>
    <s v="648970"/>
    <x v="18"/>
    <s v="110700102270"/>
    <s v="10003250002164"/>
    <d v="2025-02-05T00:00:00"/>
    <d v="2025-03-07T00:00:00"/>
    <n v="-7"/>
    <n v="280.8"/>
    <x v="1"/>
    <s v=""/>
    <s v=""/>
    <s v=""/>
  </r>
  <r>
    <x v="1"/>
    <s v="648970"/>
    <x v="18"/>
    <s v="110700102271"/>
    <s v="10003250002165"/>
    <d v="2025-02-05T00:00:00"/>
    <d v="2025-03-07T00:00:00"/>
    <n v="-7"/>
    <n v="81"/>
    <x v="1"/>
    <s v=""/>
    <s v=""/>
    <s v=""/>
  </r>
  <r>
    <x v="1"/>
    <s v="648970"/>
    <x v="18"/>
    <s v="110700102272"/>
    <s v="10003250002166"/>
    <d v="2025-02-05T00:00:00"/>
    <d v="2025-03-07T00:00:00"/>
    <n v="-7"/>
    <n v="52.5"/>
    <x v="1"/>
    <s v=""/>
    <s v=""/>
    <s v=""/>
  </r>
  <r>
    <x v="1"/>
    <s v="648970"/>
    <x v="18"/>
    <s v="110700102273"/>
    <s v="10003250002167"/>
    <d v="2025-02-05T00:00:00"/>
    <d v="2025-03-07T00:00:00"/>
    <n v="-7"/>
    <n v="123"/>
    <x v="1"/>
    <s v=""/>
    <s v=""/>
    <s v=""/>
  </r>
  <r>
    <x v="1"/>
    <s v="648970"/>
    <x v="18"/>
    <s v="110700102274"/>
    <s v="10003250002168"/>
    <d v="2025-02-05T00:00:00"/>
    <d v="2025-03-07T00:00:00"/>
    <n v="-7"/>
    <n v="7.5"/>
    <x v="1"/>
    <s v=""/>
    <s v=""/>
    <s v=""/>
  </r>
  <r>
    <x v="1"/>
    <s v="648970"/>
    <x v="18"/>
    <s v="110700102275"/>
    <s v="10003250002169"/>
    <d v="2025-02-05T00:00:00"/>
    <d v="2025-03-07T00:00:00"/>
    <n v="-7"/>
    <n v="123"/>
    <x v="1"/>
    <s v=""/>
    <s v=""/>
    <s v=""/>
  </r>
  <r>
    <x v="1"/>
    <s v="648970"/>
    <x v="18"/>
    <s v="110700102276"/>
    <s v="10003250002170"/>
    <d v="2025-02-05T00:00:00"/>
    <d v="2025-03-07T00:00:00"/>
    <n v="-7"/>
    <n v="81"/>
    <x v="1"/>
    <s v=""/>
    <s v=""/>
    <s v=""/>
  </r>
  <r>
    <x v="1"/>
    <s v="648970"/>
    <x v="18"/>
    <s v="110700102277"/>
    <s v="10003250002171"/>
    <d v="2025-02-05T00:00:00"/>
    <d v="2025-03-07T00:00:00"/>
    <n v="-7"/>
    <n v="86.26"/>
    <x v="1"/>
    <s v=""/>
    <s v=""/>
    <s v=""/>
  </r>
  <r>
    <x v="1"/>
    <s v="648970"/>
    <x v="18"/>
    <s v="110700102278"/>
    <s v="10003250002172"/>
    <d v="2025-02-05T00:00:00"/>
    <d v="2025-03-07T00:00:00"/>
    <n v="-7"/>
    <n v="90"/>
    <x v="1"/>
    <s v=""/>
    <s v=""/>
    <s v=""/>
  </r>
  <r>
    <x v="1"/>
    <s v="648970"/>
    <x v="18"/>
    <s v="110700102279"/>
    <s v="10003250002173"/>
    <d v="2025-02-05T00:00:00"/>
    <d v="2025-03-07T00:00:00"/>
    <n v="-7"/>
    <n v="40.5"/>
    <x v="1"/>
    <s v=""/>
    <s v=""/>
    <s v=""/>
  </r>
  <r>
    <x v="1"/>
    <s v="648970"/>
    <x v="18"/>
    <s v="110700102280"/>
    <s v="10003250002174"/>
    <d v="2025-02-05T00:00:00"/>
    <d v="2025-03-07T00:00:00"/>
    <n v="-7"/>
    <n v="123"/>
    <x v="1"/>
    <s v=""/>
    <s v=""/>
    <s v=""/>
  </r>
  <r>
    <x v="1"/>
    <s v="648970"/>
    <x v="18"/>
    <s v="110700102281"/>
    <s v="10003250002175"/>
    <d v="2025-02-05T00:00:00"/>
    <d v="2025-03-07T00:00:00"/>
    <n v="-7"/>
    <n v="81"/>
    <x v="1"/>
    <s v=""/>
    <s v=""/>
    <s v=""/>
  </r>
  <r>
    <x v="1"/>
    <s v="648970"/>
    <x v="18"/>
    <s v="110700102282"/>
    <s v="10003250002176"/>
    <d v="2025-02-05T00:00:00"/>
    <d v="2025-03-07T00:00:00"/>
    <n v="-7"/>
    <n v="68.400000000000006"/>
    <x v="1"/>
    <s v=""/>
    <s v=""/>
    <s v=""/>
  </r>
  <r>
    <x v="1"/>
    <s v="648970"/>
    <x v="18"/>
    <s v="110700102283"/>
    <s v="10003250002177"/>
    <d v="2025-02-05T00:00:00"/>
    <d v="2025-03-07T00:00:00"/>
    <n v="-7"/>
    <n v="34.200000000000003"/>
    <x v="1"/>
    <s v=""/>
    <s v=""/>
    <s v=""/>
  </r>
  <r>
    <x v="1"/>
    <s v="648970"/>
    <x v="18"/>
    <s v="110700102284"/>
    <s v="10003250002178"/>
    <d v="2025-02-05T00:00:00"/>
    <d v="2025-03-07T00:00:00"/>
    <n v="-7"/>
    <n v="42"/>
    <x v="1"/>
    <s v=""/>
    <s v=""/>
    <s v=""/>
  </r>
  <r>
    <x v="1"/>
    <s v="648970"/>
    <x v="18"/>
    <s v="110700102285"/>
    <s v="10003250002179"/>
    <d v="2025-02-05T00:00:00"/>
    <d v="2025-03-07T00:00:00"/>
    <n v="-7"/>
    <n v="28"/>
    <x v="1"/>
    <s v=""/>
    <s v=""/>
    <s v=""/>
  </r>
  <r>
    <x v="1"/>
    <s v="648970"/>
    <x v="18"/>
    <s v="110700102286"/>
    <s v="10003250002180"/>
    <d v="2025-02-05T00:00:00"/>
    <d v="2025-03-07T00:00:00"/>
    <n v="-7"/>
    <n v="27"/>
    <x v="1"/>
    <s v=""/>
    <s v=""/>
    <s v=""/>
  </r>
  <r>
    <x v="1"/>
    <s v="648970"/>
    <x v="18"/>
    <s v="110700102287"/>
    <s v="10003250002181"/>
    <d v="2025-02-05T00:00:00"/>
    <d v="2025-03-07T00:00:00"/>
    <n v="-7"/>
    <n v="8.5"/>
    <x v="1"/>
    <s v=""/>
    <s v=""/>
    <s v=""/>
  </r>
  <r>
    <x v="1"/>
    <s v="648970"/>
    <x v="18"/>
    <s v="110700102288"/>
    <s v="10003250002182"/>
    <d v="2025-02-05T00:00:00"/>
    <d v="2025-03-07T00:00:00"/>
    <n v="-7"/>
    <n v="54"/>
    <x v="1"/>
    <s v=""/>
    <s v=""/>
    <s v=""/>
  </r>
  <r>
    <x v="1"/>
    <s v="648970"/>
    <x v="18"/>
    <s v="110700102289"/>
    <s v="10003250002183"/>
    <d v="2025-02-05T00:00:00"/>
    <d v="2025-03-07T00:00:00"/>
    <n v="-7"/>
    <n v="28"/>
    <x v="1"/>
    <s v=""/>
    <s v=""/>
    <s v=""/>
  </r>
  <r>
    <x v="1"/>
    <s v="648970"/>
    <x v="18"/>
    <s v="110700102290"/>
    <s v="10003250002184"/>
    <d v="2025-02-05T00:00:00"/>
    <d v="2025-03-07T00:00:00"/>
    <n v="-7"/>
    <n v="218"/>
    <x v="1"/>
    <s v=""/>
    <s v=""/>
    <s v=""/>
  </r>
  <r>
    <x v="1"/>
    <s v="648970"/>
    <x v="18"/>
    <s v="110800110494"/>
    <s v="10003250000567"/>
    <d v="2025-01-31T00:00:00"/>
    <d v="2025-03-02T00:00:00"/>
    <n v="-2"/>
    <n v="180.17999999999998"/>
    <x v="1"/>
    <s v=""/>
    <s v=""/>
    <s v=""/>
  </r>
  <r>
    <x v="1"/>
    <s v="648970"/>
    <x v="18"/>
    <s v="110900083045"/>
    <s v="10003250000701"/>
    <d v="2025-01-31T00:00:00"/>
    <d v="2025-03-02T00:00:00"/>
    <n v="-2"/>
    <n v="3294"/>
    <x v="1"/>
    <s v=""/>
    <s v=""/>
    <s v=""/>
  </r>
  <r>
    <x v="1"/>
    <s v="648970"/>
    <x v="18"/>
    <s v="110900092012"/>
    <s v="10003250002832"/>
    <d v="2025-02-27T00:00:00"/>
    <d v="2025-03-29T00:00:00"/>
    <n v="-29"/>
    <n v="630.46"/>
    <x v="1"/>
    <s v=""/>
    <s v=""/>
    <s v=""/>
  </r>
  <r>
    <x v="1"/>
    <s v="648970"/>
    <x v="18"/>
    <s v="110900092013"/>
    <s v="10003250002833"/>
    <d v="2025-02-27T00:00:00"/>
    <d v="2025-04-13T00:00:00"/>
    <n v="-44"/>
    <n v="4541.41"/>
    <x v="1"/>
    <s v=""/>
    <s v=""/>
    <s v=""/>
  </r>
  <r>
    <x v="1"/>
    <s v="648970"/>
    <x v="18"/>
    <s v="110900092014"/>
    <s v="10003250002834"/>
    <d v="2025-02-27T00:00:00"/>
    <d v="2025-04-13T00:00:00"/>
    <n v="-44"/>
    <n v="157.80000000000001"/>
    <x v="1"/>
    <s v=""/>
    <s v=""/>
    <s v=""/>
  </r>
  <r>
    <x v="1"/>
    <s v="648970"/>
    <x v="18"/>
    <s v="110900092015"/>
    <s v="10003250002835"/>
    <d v="2025-02-27T00:00:00"/>
    <d v="2025-04-13T00:00:00"/>
    <n v="-44"/>
    <n v="2893.03"/>
    <x v="1"/>
    <s v=""/>
    <s v=""/>
    <s v=""/>
  </r>
  <r>
    <x v="1"/>
    <s v="648970"/>
    <x v="18"/>
    <s v="110900092016"/>
    <s v="10003250002836"/>
    <d v="2025-02-27T00:00:00"/>
    <d v="2025-04-13T00:00:00"/>
    <n v="-44"/>
    <n v="300"/>
    <x v="1"/>
    <s v=""/>
    <s v=""/>
    <s v=""/>
  </r>
  <r>
    <x v="1"/>
    <s v="648970"/>
    <x v="18"/>
    <s v="110900092017"/>
    <s v="10003250002837"/>
    <d v="2025-02-27T00:00:00"/>
    <d v="2025-04-13T00:00:00"/>
    <n v="-44"/>
    <n v="468.38"/>
    <x v="1"/>
    <s v=""/>
    <s v=""/>
    <s v=""/>
  </r>
  <r>
    <x v="1"/>
    <s v="648970"/>
    <x v="18"/>
    <s v="110900092018"/>
    <s v="10003250002838"/>
    <d v="2025-02-27T00:00:00"/>
    <d v="2025-03-29T00:00:00"/>
    <n v="-29"/>
    <n v="568.21"/>
    <x v="1"/>
    <s v=""/>
    <s v=""/>
    <s v=""/>
  </r>
  <r>
    <x v="1"/>
    <s v="648970"/>
    <x v="18"/>
    <s v="110900092019"/>
    <s v="10003250002839"/>
    <d v="2025-02-27T00:00:00"/>
    <d v="2025-03-29T00:00:00"/>
    <n v="-29"/>
    <n v="739.52"/>
    <x v="1"/>
    <s v=""/>
    <s v=""/>
    <s v=""/>
  </r>
  <r>
    <x v="1"/>
    <s v="648970"/>
    <x v="18"/>
    <s v="110900092020"/>
    <s v="10003250002840"/>
    <d v="2025-02-27T00:00:00"/>
    <d v="2025-03-29T00:00:00"/>
    <n v="-29"/>
    <n v="308.08"/>
    <x v="1"/>
    <s v=""/>
    <s v=""/>
    <s v=""/>
  </r>
  <r>
    <x v="1"/>
    <s v="648970"/>
    <x v="18"/>
    <s v="110900092021"/>
    <s v="10003250002841"/>
    <d v="2025-02-27T00:00:00"/>
    <d v="2025-03-29T00:00:00"/>
    <n v="-29"/>
    <n v="753.76"/>
    <x v="1"/>
    <s v=""/>
    <s v=""/>
    <s v=""/>
  </r>
  <r>
    <x v="1"/>
    <s v="648970"/>
    <x v="18"/>
    <s v="110900092022"/>
    <s v="10003250002842"/>
    <d v="2025-02-27T00:00:00"/>
    <d v="2025-04-13T00:00:00"/>
    <n v="-44"/>
    <n v="1257.5999999999999"/>
    <x v="1"/>
    <s v=""/>
    <s v=""/>
    <s v=""/>
  </r>
  <r>
    <x v="1"/>
    <s v="648970"/>
    <x v="18"/>
    <s v="110900092023"/>
    <s v="10003250002843"/>
    <d v="2025-02-27T00:00:00"/>
    <d v="2025-03-29T00:00:00"/>
    <n v="-29"/>
    <n v="243"/>
    <x v="1"/>
    <s v=""/>
    <s v=""/>
    <s v=""/>
  </r>
  <r>
    <x v="1"/>
    <s v="648970"/>
    <x v="18"/>
    <s v="110900092024"/>
    <s v="10003250002844"/>
    <d v="2025-02-27T00:00:00"/>
    <d v="2025-03-29T00:00:00"/>
    <n v="-29"/>
    <n v="81"/>
    <x v="1"/>
    <s v=""/>
    <s v=""/>
    <s v=""/>
  </r>
  <r>
    <x v="1"/>
    <s v="648970"/>
    <x v="18"/>
    <s v="110900092025"/>
    <s v="10003250002845"/>
    <d v="2025-02-27T00:00:00"/>
    <d v="2025-03-29T00:00:00"/>
    <n v="-29"/>
    <n v="81"/>
    <x v="1"/>
    <s v=""/>
    <s v=""/>
    <s v=""/>
  </r>
  <r>
    <x v="1"/>
    <s v="648970"/>
    <x v="18"/>
    <s v="110900092026"/>
    <s v="10003250002846"/>
    <d v="2025-02-27T00:00:00"/>
    <d v="2025-03-29T00:00:00"/>
    <n v="-29"/>
    <n v="1332"/>
    <x v="1"/>
    <s v=""/>
    <s v=""/>
    <s v=""/>
  </r>
  <r>
    <x v="1"/>
    <s v="648970"/>
    <x v="18"/>
    <s v="110900092027"/>
    <s v="10003250002847"/>
    <d v="2025-02-27T00:00:00"/>
    <d v="2025-04-13T00:00:00"/>
    <n v="-44"/>
    <n v="381.72"/>
    <x v="1"/>
    <s v=""/>
    <s v=""/>
    <s v=""/>
  </r>
  <r>
    <x v="1"/>
    <s v="648970"/>
    <x v="18"/>
    <s v="110900092028"/>
    <s v="10003250002848"/>
    <d v="2025-02-27T00:00:00"/>
    <d v="2025-04-28T00:00:00"/>
    <n v="-59"/>
    <n v="969.6"/>
    <x v="1"/>
    <s v=""/>
    <s v=""/>
    <s v=""/>
  </r>
  <r>
    <x v="1"/>
    <s v="648970"/>
    <x v="18"/>
    <s v="110900092029"/>
    <s v="10003250002849"/>
    <d v="2025-02-27T00:00:00"/>
    <d v="2025-04-13T00:00:00"/>
    <n v="-44"/>
    <n v="790.1"/>
    <x v="1"/>
    <s v=""/>
    <s v=""/>
    <s v=""/>
  </r>
  <r>
    <x v="1"/>
    <s v="648970"/>
    <x v="18"/>
    <s v="110900092030"/>
    <s v="10003250002850"/>
    <d v="2025-02-27T00:00:00"/>
    <d v="2025-04-13T00:00:00"/>
    <n v="-44"/>
    <n v="1050"/>
    <x v="1"/>
    <s v=""/>
    <s v=""/>
    <s v=""/>
  </r>
  <r>
    <x v="1"/>
    <s v="648970"/>
    <x v="18"/>
    <s v="110900092031"/>
    <s v="10003250002851"/>
    <d v="2025-02-27T00:00:00"/>
    <d v="2025-04-13T00:00:00"/>
    <n v="-44"/>
    <n v="618.66"/>
    <x v="1"/>
    <s v=""/>
    <s v=""/>
    <s v=""/>
  </r>
  <r>
    <x v="1"/>
    <s v="648970"/>
    <x v="18"/>
    <s v="110900092032"/>
    <s v="10003250002852"/>
    <d v="2025-02-27T00:00:00"/>
    <d v="2025-03-29T00:00:00"/>
    <n v="-29"/>
    <n v="75"/>
    <x v="1"/>
    <s v=""/>
    <s v=""/>
    <s v=""/>
  </r>
  <r>
    <x v="1"/>
    <s v="648970"/>
    <x v="18"/>
    <s v="110900092033"/>
    <s v="10003250002853"/>
    <d v="2025-02-27T00:00:00"/>
    <d v="2025-03-29T00:00:00"/>
    <n v="-29"/>
    <n v="2727.79"/>
    <x v="1"/>
    <s v=""/>
    <s v=""/>
    <s v=""/>
  </r>
  <r>
    <x v="1"/>
    <s v="648970"/>
    <x v="18"/>
    <s v="110900092034"/>
    <s v="10003250002854"/>
    <d v="2025-02-27T00:00:00"/>
    <d v="2025-03-29T00:00:00"/>
    <n v="-29"/>
    <n v="1001.95"/>
    <x v="1"/>
    <s v=""/>
    <s v=""/>
    <s v=""/>
  </r>
  <r>
    <x v="1"/>
    <s v="648970"/>
    <x v="18"/>
    <s v="110900092035"/>
    <s v="10003250002855"/>
    <d v="2025-02-27T00:00:00"/>
    <d v="2025-03-29T00:00:00"/>
    <n v="-29"/>
    <n v="98.1"/>
    <x v="1"/>
    <s v=""/>
    <s v=""/>
    <s v=""/>
  </r>
  <r>
    <x v="1"/>
    <s v="648970"/>
    <x v="18"/>
    <s v="110900092036"/>
    <s v="10003250002856"/>
    <d v="2025-02-27T00:00:00"/>
    <d v="2025-04-13T00:00:00"/>
    <n v="-44"/>
    <n v="59.4"/>
    <x v="1"/>
    <s v=""/>
    <s v=""/>
    <s v=""/>
  </r>
  <r>
    <x v="1"/>
    <s v="648970"/>
    <x v="18"/>
    <s v="110900092037"/>
    <s v="10003250002857"/>
    <d v="2025-02-27T00:00:00"/>
    <d v="2025-04-13T00:00:00"/>
    <n v="-44"/>
    <n v="935.26"/>
    <x v="1"/>
    <s v=""/>
    <s v=""/>
    <s v=""/>
  </r>
  <r>
    <x v="2"/>
    <s v="10107"/>
    <x v="19"/>
    <s v="8007051315"/>
    <s v=""/>
    <d v="2024-11-11T00:00:00"/>
    <d v="2024-11-11T00:00:00"/>
    <n v="109"/>
    <n v="-513.14"/>
    <x v="1"/>
    <s v="Restbetrag nach gutschft der rech 10023240103434"/>
    <s v=""/>
    <n v="-513.14"/>
  </r>
  <r>
    <x v="2"/>
    <s v="10107"/>
    <x v="19"/>
    <s v="8009051882"/>
    <s v=""/>
    <d v="2024-11-25T00:00:00"/>
    <d v="2024-11-25T00:00:00"/>
    <n v="95"/>
    <n v="-984.03"/>
    <x v="1"/>
    <s v="Restbetrag nach gutschft der rech 10023240116458"/>
    <s v=""/>
    <n v="-984.03"/>
  </r>
  <r>
    <x v="2"/>
    <s v="10107"/>
    <x v="19"/>
    <s v="8009053921"/>
    <s v=""/>
    <d v="2024-12-10T00:00:00"/>
    <d v="2024-12-10T00:00:00"/>
    <n v="80"/>
    <n v="-89804.66"/>
    <x v="1"/>
    <s v="Restbetrag nach gutschft der rech 10023240128424"/>
    <s v=""/>
    <n v="-89804.66"/>
  </r>
  <r>
    <x v="2"/>
    <s v="10107"/>
    <x v="19"/>
    <s v="8010142780"/>
    <s v=""/>
    <d v="2023-08-22T00:00:00"/>
    <d v="2024-09-16T00:00:00"/>
    <n v="165"/>
    <n v="-1262780.3799999999"/>
    <x v="1"/>
    <s v="Restbetrag nach gutschft der rech 10023230075337"/>
    <s v=""/>
    <n v="-1262780.3799999999"/>
  </r>
  <r>
    <x v="2"/>
    <s v="10107"/>
    <x v="19"/>
    <s v="110000054783"/>
    <s v="10023240020618"/>
    <d v="2024-02-05T00:00:00"/>
    <d v="2024-03-06T00:00:00"/>
    <n v="359"/>
    <n v="74380.95"/>
    <x v="1"/>
    <s v="27.08.24 Zahlungserinnerung intern an D. Kuehnert."/>
    <s v=""/>
    <n v="74380.95"/>
  </r>
  <r>
    <x v="2"/>
    <s v="10107"/>
    <x v="19"/>
    <s v="110000105876"/>
    <s v="10023240140413"/>
    <d v="2024-12-20T00:00:00"/>
    <d v="2025-01-19T00:00:00"/>
    <n v="40"/>
    <n v="999.6"/>
    <x v="1"/>
    <s v="0111446532_001_001/E71804425/0025853759"/>
    <s v=""/>
    <n v="999.6"/>
  </r>
  <r>
    <x v="2"/>
    <s v="10107"/>
    <x v="19"/>
    <s v="110000107322"/>
    <s v="10023240141374"/>
    <d v="2024-12-30T00:00:00"/>
    <d v="2025-01-29T00:00:00"/>
    <n v="30"/>
    <n v="38474.6"/>
    <x v="1"/>
    <s v=""/>
    <s v=""/>
    <n v="38474.6"/>
  </r>
  <r>
    <x v="2"/>
    <s v="10107"/>
    <x v="19"/>
    <s v="110100084806"/>
    <s v="10023240135716"/>
    <d v="2024-12-05T00:00:00"/>
    <d v="2025-01-04T00:00:00"/>
    <n v="55"/>
    <n v="26021.040000000001"/>
    <x v="1"/>
    <s v=""/>
    <s v=""/>
    <n v="26021.040000000001"/>
  </r>
  <r>
    <x v="2"/>
    <s v="10107"/>
    <x v="19"/>
    <s v="110100084807"/>
    <s v="10023240135717"/>
    <d v="2024-12-05T00:00:00"/>
    <d v="2025-01-04T00:00:00"/>
    <n v="55"/>
    <n v="13393.03"/>
    <x v="1"/>
    <s v=""/>
    <s v=""/>
    <n v="13393.03"/>
  </r>
  <r>
    <x v="2"/>
    <s v="10107"/>
    <x v="19"/>
    <s v="110100084808"/>
    <s v="10023240135718"/>
    <d v="2024-12-05T00:00:00"/>
    <d v="2024-12-19T00:00:00"/>
    <n v="71"/>
    <n v="23030.78"/>
    <x v="1"/>
    <s v=""/>
    <s v=""/>
    <n v="23030.78"/>
  </r>
  <r>
    <x v="2"/>
    <s v="10107"/>
    <x v="19"/>
    <s v="110100084809"/>
    <s v="10023240135719"/>
    <d v="2024-12-05T00:00:00"/>
    <d v="2025-01-04T00:00:00"/>
    <n v="55"/>
    <n v="10940.619999999999"/>
    <x v="1"/>
    <s v=""/>
    <s v=""/>
    <n v="10940.619999999999"/>
  </r>
  <r>
    <x v="2"/>
    <s v="10107"/>
    <x v="19"/>
    <s v="110100090941"/>
    <s v="10023250001539"/>
    <d v="2025-01-05T00:00:00"/>
    <d v="2025-02-04T00:00:00"/>
    <n v="24"/>
    <n v="39716.25"/>
    <x v="1"/>
    <s v=""/>
    <s v=""/>
    <n v="39716.25"/>
  </r>
  <r>
    <x v="2"/>
    <s v="10107"/>
    <x v="19"/>
    <s v="110100090942"/>
    <s v="10023250001540"/>
    <d v="2025-01-05T00:00:00"/>
    <d v="2025-02-04T00:00:00"/>
    <n v="24"/>
    <n v="0.06"/>
    <x v="1"/>
    <s v=""/>
    <s v=""/>
    <n v="0.06"/>
  </r>
  <r>
    <x v="2"/>
    <s v="10107"/>
    <x v="19"/>
    <s v="110200079642"/>
    <s v="10023240137597"/>
    <d v="2024-12-12T00:00:00"/>
    <d v="2025-01-11T00:00:00"/>
    <n v="48"/>
    <n v="2998.8"/>
    <x v="1"/>
    <s v="0111436330_001_001/E71764167/0001902096"/>
    <s v=""/>
    <n v="2998.8"/>
  </r>
  <r>
    <x v="2"/>
    <s v="10107"/>
    <x v="19"/>
    <s v="110200079643"/>
    <s v="10023240137598"/>
    <d v="2024-12-12T00:00:00"/>
    <d v="2025-01-11T00:00:00"/>
    <n v="48"/>
    <n v="2998.8"/>
    <x v="1"/>
    <s v="0111436329_001_001/E71764167/0009113723"/>
    <s v=""/>
    <n v="2998.8"/>
  </r>
  <r>
    <x v="2"/>
    <s v="10107"/>
    <x v="19"/>
    <s v="110200087219"/>
    <s v="10023250011900"/>
    <d v="2025-01-28T00:00:00"/>
    <d v="2025-02-27T00:00:00"/>
    <n v="1"/>
    <n v="700719.71999999986"/>
    <x v="1"/>
    <s v=""/>
    <s v=""/>
    <n v="700719.71999999986"/>
  </r>
  <r>
    <x v="2"/>
    <s v="10107"/>
    <x v="19"/>
    <s v="110300083978"/>
    <s v="10023250002440"/>
    <d v="2025-01-06T00:00:00"/>
    <d v="2025-02-05T00:00:00"/>
    <n v="23"/>
    <n v="1272751.01"/>
    <x v="1"/>
    <s v=""/>
    <s v=""/>
    <n v="1272751.01"/>
  </r>
  <r>
    <x v="2"/>
    <s v="10107"/>
    <x v="19"/>
    <s v="110300089770"/>
    <s v="10023250018419"/>
    <d v="2025-02-14T00:00:00"/>
    <d v="2025-03-16T00:00:00"/>
    <n v="-16"/>
    <n v="1999.2"/>
    <x v="1"/>
    <s v="0111483322_001_001/E71852207/0026736096"/>
    <s v=""/>
    <s v=""/>
  </r>
  <r>
    <x v="2"/>
    <s v="10107"/>
    <x v="19"/>
    <s v="110400088110"/>
    <s v="10023240128422"/>
    <d v="2024-11-07T00:00:00"/>
    <d v="2024-12-07T00:00:00"/>
    <n v="83"/>
    <n v="92195.26"/>
    <x v="1"/>
    <s v=""/>
    <s v=""/>
    <n v="92195.26"/>
  </r>
  <r>
    <x v="2"/>
    <s v="10107"/>
    <x v="19"/>
    <s v="110600059237"/>
    <s v="20023240000840"/>
    <d v="2024-03-13T00:00:00"/>
    <d v="2024-03-13T00:00:00"/>
    <n v="352"/>
    <n v="-39031.79"/>
    <x v="1"/>
    <s v="Korrektur Fur 10023230056880"/>
    <s v=""/>
    <n v="-39031.79"/>
  </r>
  <r>
    <x v="2"/>
    <s v="10107"/>
    <x v="19"/>
    <s v="110700103041"/>
    <s v="10023250014058"/>
    <d v="2025-02-05T00:00:00"/>
    <d v="2025-03-07T00:00:00"/>
    <n v="-7"/>
    <n v="92195.26"/>
    <x v="1"/>
    <s v=""/>
    <s v=""/>
    <s v=""/>
  </r>
  <r>
    <x v="2"/>
    <s v="10107"/>
    <x v="19"/>
    <s v="110700103042"/>
    <s v="10023250014059"/>
    <d v="2025-02-05T00:00:00"/>
    <d v="2025-03-07T00:00:00"/>
    <n v="-7"/>
    <n v="839473.68"/>
    <x v="1"/>
    <s v=""/>
    <s v=""/>
    <s v=""/>
  </r>
  <r>
    <x v="2"/>
    <s v="10107"/>
    <x v="19"/>
    <s v="110800067210"/>
    <s v="10023240018143"/>
    <d v="2024-01-25T00:00:00"/>
    <d v="2024-02-24T00:00:00"/>
    <n v="370"/>
    <n v="4700.5"/>
    <x v="1"/>
    <s v="27.08.24 Zahlungserinnerung intern an D. Kuehnert."/>
    <s v=""/>
    <n v="4700.5"/>
  </r>
  <r>
    <x v="2"/>
    <s v="10107"/>
    <x v="19"/>
    <s v="110800105893"/>
    <s v="10023250000020"/>
    <d v="2025-01-02T00:00:00"/>
    <d v="2025-02-11T00:00:00"/>
    <n v="17"/>
    <n v="774690"/>
    <x v="1"/>
    <s v=""/>
    <s v=""/>
    <n v="774690"/>
  </r>
  <r>
    <x v="2"/>
    <s v="10107"/>
    <x v="19"/>
    <s v="110800112880"/>
    <s v="10023250016059"/>
    <d v="2025-02-07T00:00:00"/>
    <d v="2025-03-09T00:00:00"/>
    <n v="-9"/>
    <n v="1586442.26"/>
    <x v="1"/>
    <s v=""/>
    <s v=""/>
    <s v=""/>
  </r>
  <r>
    <x v="2"/>
    <s v="10107"/>
    <x v="19"/>
    <s v="110800112881"/>
    <s v="10023250016060"/>
    <d v="2025-02-07T00:00:00"/>
    <d v="2025-03-09T00:00:00"/>
    <n v="-9"/>
    <n v="6571.58"/>
    <x v="1"/>
    <s v=""/>
    <s v=""/>
    <s v=""/>
  </r>
  <r>
    <x v="2"/>
    <s v="10107"/>
    <x v="19"/>
    <s v="110800112882"/>
    <s v="10023250016061"/>
    <d v="2025-02-07T00:00:00"/>
    <d v="2025-03-09T00:00:00"/>
    <n v="-9"/>
    <n v="78063.12"/>
    <x v="1"/>
    <s v=""/>
    <s v=""/>
    <s v=""/>
  </r>
  <r>
    <x v="2"/>
    <s v="10107"/>
    <x v="19"/>
    <s v="110900046708"/>
    <s v="10023240001471"/>
    <d v="2024-01-05T00:00:00"/>
    <d v="2024-02-04T00:00:00"/>
    <n v="390"/>
    <n v="85700.21"/>
    <x v="1"/>
    <s v="27.08.24 Zahlungserinnerung intern an D. Kuehnert."/>
    <s v=""/>
    <n v="85700.21"/>
  </r>
  <r>
    <x v="2"/>
    <s v="10107"/>
    <x v="19"/>
    <s v="110900069002"/>
    <s v="10023240113285"/>
    <d v="2024-10-14T00:00:00"/>
    <d v="2024-11-13T00:00:00"/>
    <n v="107"/>
    <n v="256808.76"/>
    <x v="1"/>
    <s v=""/>
    <s v=""/>
    <n v="256808.76"/>
  </r>
  <r>
    <x v="2"/>
    <s v="10107"/>
    <x v="19"/>
    <s v="110900069008"/>
    <s v="10023240113291"/>
    <d v="2024-10-14T00:00:00"/>
    <d v="2024-11-13T00:00:00"/>
    <n v="107"/>
    <n v="6571.58"/>
    <x v="1"/>
    <s v=""/>
    <s v=""/>
    <n v="6571.58"/>
  </r>
  <r>
    <x v="2"/>
    <s v="10107"/>
    <x v="19"/>
    <s v="110900078849"/>
    <s v="10023240139776"/>
    <d v="2024-12-19T00:00:00"/>
    <d v="2025-01-18T00:00:00"/>
    <n v="41"/>
    <n v="4998"/>
    <x v="1"/>
    <s v="0111450758_001_001/E71771571/0026121751"/>
    <s v=""/>
    <n v="4998"/>
  </r>
  <r>
    <x v="2"/>
    <s v="10107"/>
    <x v="19"/>
    <s v="111000173731"/>
    <s v="10023230143386"/>
    <d v="2023-12-31T00:00:00"/>
    <d v="2024-02-09T00:00:00"/>
    <n v="385"/>
    <n v="28457.95"/>
    <x v="1"/>
    <s v="27.08.24 Zahlungserinnerung intern an D. Kuehnert."/>
    <s v=""/>
    <n v="28457.95"/>
  </r>
  <r>
    <x v="2"/>
    <s v="10107"/>
    <x v="19"/>
    <s v="111000183606"/>
    <s v="10023240019540"/>
    <d v="2024-01-31T00:00:00"/>
    <d v="2024-03-03T00:00:00"/>
    <n v="362"/>
    <n v="11571.56"/>
    <x v="1"/>
    <s v="27.08.24 Zahlungserinnerung intern an D. Kuehnert."/>
    <s v=""/>
    <n v="11571.56"/>
  </r>
  <r>
    <x v="2"/>
    <s v="10107"/>
    <x v="19"/>
    <s v="111000254037"/>
    <s v="10023240131643"/>
    <d v="2024-11-22T00:00:00"/>
    <d v="2024-12-22T00:00:00"/>
    <n v="68"/>
    <n v="88042.75"/>
    <x v="1"/>
    <s v=""/>
    <s v=""/>
    <n v="88042.75"/>
  </r>
  <r>
    <x v="2"/>
    <s v="10107"/>
    <x v="19"/>
    <s v="111000257447"/>
    <s v="10023240136302"/>
    <d v="2024-12-08T00:00:00"/>
    <d v="2025-01-07T00:00:00"/>
    <n v="52"/>
    <n v="22292.87"/>
    <x v="1"/>
    <s v="* Consulting to PO Number 4201198974 ; Order 45029"/>
    <s v=""/>
    <n v="22292.87"/>
  </r>
  <r>
    <x v="2"/>
    <s v="10107"/>
    <x v="19"/>
    <s v="111000261473"/>
    <s v="20023240003832"/>
    <d v="2024-12-30T00:00:00"/>
    <d v="2024-12-30T00:00:00"/>
    <n v="60"/>
    <n v="-1265.4000000000001"/>
    <x v="1"/>
    <s v="Korrektur Fur 10023240032724"/>
    <s v=""/>
    <n v="-1265.4000000000001"/>
  </r>
  <r>
    <x v="2"/>
    <s v="10107"/>
    <x v="19"/>
    <s v="111000261474"/>
    <s v="20023240003834"/>
    <d v="2024-12-30T00:00:00"/>
    <d v="2025-01-29T00:00:00"/>
    <n v="30"/>
    <n v="-8928.69"/>
    <x v="1"/>
    <s v=""/>
    <s v=""/>
    <n v="-8928.69"/>
  </r>
  <r>
    <x v="2"/>
    <s v="10107"/>
    <x v="19"/>
    <s v="111000261475"/>
    <s v="10023240141287"/>
    <d v="2024-12-30T00:00:00"/>
    <d v="2025-01-29T00:00:00"/>
    <n v="30"/>
    <n v="0.02"/>
    <x v="1"/>
    <s v=""/>
    <s v=""/>
    <n v="0.02"/>
  </r>
  <r>
    <x v="2"/>
    <s v="10107"/>
    <x v="19"/>
    <s v="111000261477"/>
    <s v="20023240003836"/>
    <d v="2024-12-30T00:00:00"/>
    <d v="2024-12-30T00:00:00"/>
    <n v="60"/>
    <n v="-22168.91"/>
    <x v="1"/>
    <s v="Korrektur Fur 10023240036846"/>
    <s v=""/>
    <n v="-22168.91"/>
  </r>
  <r>
    <x v="2"/>
    <s v="10107"/>
    <x v="19"/>
    <s v="111000261478"/>
    <s v="20023240003837"/>
    <d v="2024-12-30T00:00:00"/>
    <d v="2024-12-30T00:00:00"/>
    <n v="60"/>
    <n v="-5502.49"/>
    <x v="1"/>
    <s v="Korrektur Fur 10023240128423"/>
    <s v=""/>
    <n v="-5502.49"/>
  </r>
  <r>
    <x v="2"/>
    <s v="10107"/>
    <x v="19"/>
    <s v="111000261510"/>
    <s v="20023240003839"/>
    <d v="2024-12-30T00:00:00"/>
    <d v="2024-12-30T00:00:00"/>
    <n v="60"/>
    <n v="-200554.34000000003"/>
    <x v="1"/>
    <s v="Korrektur Fur 10023240071557"/>
    <s v=""/>
    <n v="-200554.34000000003"/>
  </r>
  <r>
    <x v="2"/>
    <s v="10107"/>
    <x v="19"/>
    <s v="111000262657"/>
    <s v="10023240142987"/>
    <d v="2024-12-31T00:00:00"/>
    <d v="2025-02-02T00:00:00"/>
    <n v="26"/>
    <n v="19869.73"/>
    <x v="1"/>
    <s v="* Consulting to PO Number 4201198974 ; Order 45029"/>
    <s v=""/>
    <n v="19869.73"/>
  </r>
  <r>
    <x v="2"/>
    <s v="10107"/>
    <x v="19"/>
    <s v="111000262852"/>
    <s v="10023240143075"/>
    <d v="2024-12-31T00:00:00"/>
    <d v="2025-02-02T00:00:00"/>
    <n v="26"/>
    <n v="12610.32"/>
    <x v="1"/>
    <s v="* Consulting to PO Number 4201385661 ; Order"/>
    <s v=""/>
    <n v="12610.32"/>
  </r>
  <r>
    <x v="2"/>
    <s v="10107"/>
    <x v="19"/>
    <s v="111000263431"/>
    <s v="20023250000098"/>
    <d v="2025-01-07T00:00:00"/>
    <d v="2025-01-07T00:00:00"/>
    <n v="52"/>
    <n v="-200554.33999999997"/>
    <x v="1"/>
    <s v=""/>
    <s v=""/>
    <n v="-200554.33999999997"/>
  </r>
  <r>
    <x v="2"/>
    <s v="10107"/>
    <x v="19"/>
    <s v="111000266851"/>
    <s v="10023250012072"/>
    <d v="2025-01-30T00:00:00"/>
    <d v="2025-03-01T00:00:00"/>
    <n v="-1"/>
    <n v="38526.25"/>
    <x v="1"/>
    <s v="* Consulting to PO Number 4201411520, Pos. 00010 ;"/>
    <s v=""/>
    <s v=""/>
  </r>
  <r>
    <x v="2"/>
    <s v="10107"/>
    <x v="19"/>
    <s v="111000268437"/>
    <s v="10023250013459"/>
    <d v="2025-01-31T00:00:00"/>
    <d v="2025-03-06T00:00:00"/>
    <n v="-6"/>
    <n v="40327.620000000003"/>
    <x v="1"/>
    <s v="* Consulting to PO Number 4201385661 ; Order"/>
    <s v=""/>
    <s v=""/>
  </r>
  <r>
    <x v="2"/>
    <s v="10107"/>
    <x v="19"/>
    <s v="401000011822"/>
    <s v=""/>
    <d v="2024-12-10T00:00:00"/>
    <d v="2024-12-02T00:00:00"/>
    <n v="88"/>
    <n v="-1298763.45"/>
    <x v="1"/>
    <s v=""/>
    <s v=""/>
    <n v="-1298763.45"/>
  </r>
  <r>
    <x v="2"/>
    <s v="10176"/>
    <x v="20"/>
    <s v="8010155829"/>
    <s v=""/>
    <d v="2024-12-10T00:00:00"/>
    <d v="2024-12-10T00:00:00"/>
    <n v="80"/>
    <n v="-270.14999999999998"/>
    <x v="1"/>
    <s v="Pmt for INV 10023240071901"/>
    <s v=""/>
    <n v="-270.14999999999998"/>
  </r>
  <r>
    <x v="2"/>
    <s v="10176"/>
    <x v="20"/>
    <s v="8010158880"/>
    <s v=""/>
    <d v="2025-01-02T00:00:00"/>
    <d v="2025-01-02T00:00:00"/>
    <n v="57"/>
    <n v="-19675.2"/>
    <x v="1"/>
    <s v="Zahlung zu?"/>
    <s v=""/>
    <n v="-19675.2"/>
  </r>
  <r>
    <x v="2"/>
    <s v="10176"/>
    <x v="20"/>
    <s v="8010164147"/>
    <s v=""/>
    <d v="2025-02-04T00:00:00"/>
    <d v="2025-02-04T00:00:00"/>
    <n v="24"/>
    <n v="-73822.63"/>
    <x v="1"/>
    <s v="Zahlung zu?"/>
    <s v=""/>
    <n v="-73822.63"/>
  </r>
  <r>
    <x v="2"/>
    <s v="10176"/>
    <x v="20"/>
    <s v="110000105971"/>
    <s v="10023240140508"/>
    <d v="2024-12-20T00:00:00"/>
    <d v="2025-01-19T00:00:00"/>
    <n v="40"/>
    <n v="999.6"/>
    <x v="1"/>
    <s v="0111455610_001_001/E71804425/0026664099"/>
    <s v=""/>
    <n v="999.6"/>
  </r>
  <r>
    <x v="2"/>
    <s v="10176"/>
    <x v="20"/>
    <s v="110000108013"/>
    <s v="10023250000148"/>
    <d v="2025-01-03T00:00:00"/>
    <d v="2025-03-04T00:00:00"/>
    <n v="-4"/>
    <n v="3424511.61"/>
    <x v="1"/>
    <s v=""/>
    <s v=""/>
    <s v=""/>
  </r>
  <r>
    <x v="2"/>
    <s v="10176"/>
    <x v="20"/>
    <s v="110000109014"/>
    <s v="10023250004557"/>
    <d v="2025-01-16T00:00:00"/>
    <d v="2025-03-02T00:00:00"/>
    <n v="-2"/>
    <n v="484404.38"/>
    <x v="1"/>
    <s v=""/>
    <s v=""/>
    <s v=""/>
  </r>
  <r>
    <x v="2"/>
    <s v="10176"/>
    <x v="20"/>
    <s v="110100091449"/>
    <s v="10023250002047"/>
    <d v="2025-01-05T00:00:00"/>
    <d v="2025-01-19T00:00:00"/>
    <n v="40"/>
    <n v="57025.4"/>
    <x v="1"/>
    <s v=""/>
    <s v=""/>
    <n v="57025.4"/>
  </r>
  <r>
    <x v="2"/>
    <s v="10176"/>
    <x v="20"/>
    <s v="110100091450"/>
    <s v="10023250002048"/>
    <d v="2025-01-05T00:00:00"/>
    <d v="2025-02-04T00:00:00"/>
    <n v="24"/>
    <n v="74970"/>
    <x v="1"/>
    <s v=""/>
    <s v=""/>
    <n v="74970"/>
  </r>
  <r>
    <x v="2"/>
    <s v="10176"/>
    <x v="20"/>
    <s v="110100091451"/>
    <s v="10023250002049"/>
    <d v="2025-01-05T00:00:00"/>
    <d v="2025-03-06T00:00:00"/>
    <n v="-6"/>
    <n v="308770.59000000003"/>
    <x v="1"/>
    <s v=""/>
    <s v=""/>
    <s v=""/>
  </r>
  <r>
    <x v="2"/>
    <s v="10176"/>
    <x v="20"/>
    <s v="110200078058"/>
    <s v="10023240134597"/>
    <d v="2024-11-30T00:00:00"/>
    <d v="2025-01-02T00:00:00"/>
    <n v="57"/>
    <n v="68507.710000000006"/>
    <x v="1"/>
    <s v="P2P erhalten 05.02.2025 Zahlung am 14.02.2025"/>
    <s v=""/>
    <n v="68507.710000000006"/>
  </r>
  <r>
    <x v="2"/>
    <s v="10176"/>
    <x v="20"/>
    <s v="110200090184"/>
    <s v="10023250019854"/>
    <d v="2025-02-21T00:00:00"/>
    <d v="2025-03-07T00:00:00"/>
    <n v="-7"/>
    <n v="23780.32"/>
    <x v="1"/>
    <s v=""/>
    <s v=""/>
    <s v=""/>
  </r>
  <r>
    <x v="2"/>
    <s v="10176"/>
    <x v="20"/>
    <s v="110300083320"/>
    <s v="10023240142859"/>
    <d v="2024-12-31T00:00:00"/>
    <d v="2025-02-02T00:00:00"/>
    <n v="26"/>
    <n v="960.95"/>
    <x v="1"/>
    <s v="P2P erhalten 05.02.2025 Zahlung am 14.02.2025"/>
    <s v=""/>
    <n v="960.95"/>
  </r>
  <r>
    <x v="2"/>
    <s v="10176"/>
    <x v="20"/>
    <s v="110300083321"/>
    <s v="10023240142860"/>
    <d v="2024-12-31T00:00:00"/>
    <d v="2025-02-02T00:00:00"/>
    <n v="26"/>
    <n v="4422.37"/>
    <x v="1"/>
    <s v="P2P erhalten 05.02.2025 Zahlung am 14.02.2025"/>
    <s v=""/>
    <n v="4422.37"/>
  </r>
  <r>
    <x v="2"/>
    <s v="10176"/>
    <x v="20"/>
    <s v="110300083322"/>
    <s v="10023240142861"/>
    <d v="2024-12-31T00:00:00"/>
    <d v="2025-02-02T00:00:00"/>
    <n v="26"/>
    <n v="550.38"/>
    <x v="1"/>
    <s v="P2P erhalten 05.02.2025 Zahlung am 14.02.2025"/>
    <s v=""/>
    <n v="550.38"/>
  </r>
  <r>
    <x v="2"/>
    <s v="10176"/>
    <x v="20"/>
    <s v="110300083324"/>
    <s v="10023240142863"/>
    <d v="2024-12-31T00:00:00"/>
    <d v="2025-02-02T00:00:00"/>
    <n v="26"/>
    <n v="3242.75"/>
    <x v="1"/>
    <s v="P2P erhalten 05.02.2025 Zahlung am 14.02.2025"/>
    <s v=""/>
    <n v="3242.75"/>
  </r>
  <r>
    <x v="2"/>
    <s v="10176"/>
    <x v="20"/>
    <s v="110500091752"/>
    <s v="10023240142994"/>
    <d v="2024-12-31T00:00:00"/>
    <d v="2025-02-02T00:00:00"/>
    <n v="26"/>
    <n v="36850.660000000003"/>
    <x v="1"/>
    <s v="P2P erhalten 05.02.2025 Zahlung am 14.02.2025"/>
    <s v=""/>
    <n v="36850.660000000003"/>
  </r>
  <r>
    <x v="2"/>
    <s v="10176"/>
    <x v="20"/>
    <s v="110700096074"/>
    <s v="10023240142471"/>
    <d v="2024-12-31T00:00:00"/>
    <d v="2025-02-01T00:00:00"/>
    <n v="27"/>
    <n v="103268.2"/>
    <x v="1"/>
    <s v="P2P erhalten 05.02.2025 Zahlung am 14.02.2025"/>
    <s v=""/>
    <n v="103268.2"/>
  </r>
  <r>
    <x v="2"/>
    <s v="10176"/>
    <x v="20"/>
    <s v="110800113381"/>
    <s v="10023250016560"/>
    <d v="2025-02-07T00:00:00"/>
    <d v="2025-03-09T00:00:00"/>
    <n v="-9"/>
    <n v="50940.18"/>
    <x v="1"/>
    <s v=""/>
    <s v=""/>
    <s v=""/>
  </r>
  <r>
    <x v="2"/>
    <s v="10176"/>
    <x v="20"/>
    <s v="110800113382"/>
    <s v="10023250016561"/>
    <d v="2025-02-07T00:00:00"/>
    <d v="2025-03-09T00:00:00"/>
    <n v="-9"/>
    <n v="6467.21"/>
    <x v="1"/>
    <s v=""/>
    <s v=""/>
    <s v=""/>
  </r>
  <r>
    <x v="2"/>
    <s v="10176"/>
    <x v="20"/>
    <s v="110800113383"/>
    <s v="10023250016562"/>
    <d v="2025-02-07T00:00:00"/>
    <d v="2025-03-09T00:00:00"/>
    <n v="-9"/>
    <n v="94561.05"/>
    <x v="1"/>
    <s v=""/>
    <s v=""/>
    <s v=""/>
  </r>
  <r>
    <x v="2"/>
    <s v="10176"/>
    <x v="20"/>
    <s v="110800113384"/>
    <s v="10023250016563"/>
    <d v="2025-02-07T00:00:00"/>
    <d v="2025-02-21T00:00:00"/>
    <n v="7"/>
    <n v="2203.25"/>
    <x v="1"/>
    <s v=""/>
    <s v=""/>
    <n v="2203.25"/>
  </r>
  <r>
    <x v="2"/>
    <s v="10176"/>
    <x v="20"/>
    <s v="110800113385"/>
    <s v="10023250016564"/>
    <d v="2025-02-07T00:00:00"/>
    <d v="2025-03-24T00:00:00"/>
    <n v="-24"/>
    <n v="559105.14"/>
    <x v="1"/>
    <s v=""/>
    <s v=""/>
    <s v=""/>
  </r>
  <r>
    <x v="2"/>
    <s v="10176"/>
    <x v="20"/>
    <s v="110800113386"/>
    <s v="10023250016565"/>
    <d v="2025-02-07T00:00:00"/>
    <d v="2025-03-24T00:00:00"/>
    <n v="-24"/>
    <n v="2409663.7000000002"/>
    <x v="1"/>
    <s v=""/>
    <s v=""/>
    <s v=""/>
  </r>
  <r>
    <x v="2"/>
    <s v="10176"/>
    <x v="20"/>
    <s v="110800113387"/>
    <s v="10023250016566"/>
    <d v="2025-02-07T00:00:00"/>
    <d v="2025-03-24T00:00:00"/>
    <n v="-24"/>
    <n v="1684.28"/>
    <x v="1"/>
    <s v=""/>
    <s v=""/>
    <s v=""/>
  </r>
  <r>
    <x v="2"/>
    <s v="10176"/>
    <x v="20"/>
    <s v="110800113388"/>
    <s v="10023250016567"/>
    <d v="2025-02-07T00:00:00"/>
    <d v="2025-02-21T00:00:00"/>
    <n v="7"/>
    <n v="60690"/>
    <x v="1"/>
    <s v=""/>
    <s v=""/>
    <n v="60690"/>
  </r>
  <r>
    <x v="2"/>
    <s v="10176"/>
    <x v="20"/>
    <s v="111000111555"/>
    <s v="20023230001431"/>
    <d v="2023-05-10T00:00:00"/>
    <d v="2023-05-10T00:00:00"/>
    <n v="660"/>
    <n v="-1171.9100000000001"/>
    <x v="1"/>
    <s v="10.12.24 Info und Anfr. an glowimrl@schaeffler.com"/>
    <s v=""/>
    <n v="-1171.9100000000001"/>
  </r>
  <r>
    <x v="2"/>
    <s v="10176"/>
    <x v="20"/>
    <s v="111000260540"/>
    <s v="20023240003776"/>
    <d v="2024-12-23T00:00:00"/>
    <d v="2024-12-23T00:00:00"/>
    <n v="67"/>
    <n v="-14.7"/>
    <x v="1"/>
    <s v="P2P erhalten 05.02.2025 Zahlung am 14.02.2025"/>
    <s v=""/>
    <n v="-14.7"/>
  </r>
  <r>
    <x v="2"/>
    <s v="10176"/>
    <x v="20"/>
    <s v="111000260541"/>
    <s v="20023240003777"/>
    <d v="2024-12-23T00:00:00"/>
    <d v="2024-12-23T00:00:00"/>
    <n v="67"/>
    <n v="-143965.69"/>
    <x v="1"/>
    <s v="P2P erhalten 05.02.2025 Zahlung am 14.02.2025"/>
    <s v=""/>
    <n v="-143965.69"/>
  </r>
  <r>
    <x v="2"/>
    <s v="10423"/>
    <x v="21"/>
    <s v="8003051760"/>
    <s v=""/>
    <d v="2024-11-27T00:00:00"/>
    <d v="2024-11-27T00:00:00"/>
    <n v="93"/>
    <n v="-217.77"/>
    <x v="1"/>
    <s v=""/>
    <s v=""/>
    <n v="-217.77"/>
  </r>
  <r>
    <x v="2"/>
    <s v="10423"/>
    <x v="21"/>
    <s v="8007048324"/>
    <s v=""/>
    <d v="2024-09-04T00:00:00"/>
    <d v="2024-09-04T00:00:00"/>
    <n v="177"/>
    <n v="-374.86"/>
    <x v="1"/>
    <s v=""/>
    <s v=""/>
    <n v="-374.86"/>
  </r>
  <r>
    <x v="2"/>
    <s v="10423"/>
    <x v="21"/>
    <s v="8010139201"/>
    <s v=""/>
    <d v="2024-08-01T00:00:00"/>
    <d v="2024-08-01T00:00:00"/>
    <n v="211"/>
    <n v="-71.400000000000006"/>
    <x v="1"/>
    <s v="02/09 @ Info zur Vrrch. folgt"/>
    <s v=""/>
    <n v="-71.400000000000006"/>
  </r>
  <r>
    <x v="2"/>
    <s v="10423"/>
    <x v="21"/>
    <s v="110000040060"/>
    <s v="10023230094587"/>
    <d v="2023-08-23T00:00:00"/>
    <d v="2023-09-22T00:00:00"/>
    <n v="525"/>
    <n v="2374.0500000000002"/>
    <x v="1"/>
    <s v=""/>
    <s v=""/>
    <n v="2374.0500000000002"/>
  </r>
  <r>
    <x v="2"/>
    <s v="10423"/>
    <x v="21"/>
    <s v="110000113061"/>
    <s v="10023250018710"/>
    <d v="2025-02-15T00:00:00"/>
    <d v="2025-03-17T00:00:00"/>
    <n v="-17"/>
    <n v="32.49"/>
    <x v="1"/>
    <s v=""/>
    <s v=""/>
    <s v=""/>
  </r>
  <r>
    <x v="2"/>
    <s v="10423"/>
    <x v="21"/>
    <s v="110300089834"/>
    <s v="10023250018483"/>
    <d v="2025-02-14T00:00:00"/>
    <d v="2025-02-28T00:00:00"/>
    <n v="0"/>
    <n v="3998.4"/>
    <x v="1"/>
    <s v="0111444172_001_001/E71855996/0021186320"/>
    <s v=""/>
    <s v=""/>
  </r>
  <r>
    <x v="2"/>
    <s v="10423"/>
    <x v="21"/>
    <s v="110300089835"/>
    <s v="10023250018484"/>
    <d v="2025-02-14T00:00:00"/>
    <d v="2025-02-28T00:00:00"/>
    <n v="0"/>
    <n v="3998.4"/>
    <x v="1"/>
    <s v="0111444174_001_001/E71855996/0024750393"/>
    <s v=""/>
    <s v=""/>
  </r>
  <r>
    <x v="2"/>
    <s v="10423"/>
    <x v="21"/>
    <s v="110300089836"/>
    <s v="10023250018485"/>
    <d v="2025-02-14T00:00:00"/>
    <d v="2025-03-16T00:00:00"/>
    <n v="-16"/>
    <n v="249.9"/>
    <x v="1"/>
    <s v=""/>
    <s v=""/>
    <s v=""/>
  </r>
  <r>
    <x v="2"/>
    <s v="10423"/>
    <x v="21"/>
    <s v="110300089837"/>
    <s v="10023250018486"/>
    <d v="2025-02-14T00:00:00"/>
    <d v="2025-03-16T00:00:00"/>
    <n v="-16"/>
    <n v="18658.830000000002"/>
    <x v="1"/>
    <s v=""/>
    <s v=""/>
    <s v=""/>
  </r>
  <r>
    <x v="2"/>
    <s v="10423"/>
    <x v="21"/>
    <s v="110700103141"/>
    <s v="10023250014158"/>
    <d v="2025-02-05T00:00:00"/>
    <d v="2025-02-19T00:00:00"/>
    <n v="9"/>
    <n v="8568"/>
    <x v="1"/>
    <s v=""/>
    <s v=""/>
    <n v="8568"/>
  </r>
  <r>
    <x v="2"/>
    <s v="10423"/>
    <x v="21"/>
    <s v="110800113282"/>
    <s v="10023250016461"/>
    <d v="2025-02-07T00:00:00"/>
    <d v="2025-03-09T00:00:00"/>
    <n v="-9"/>
    <n v="4900.8100000000004"/>
    <x v="1"/>
    <s v=""/>
    <s v=""/>
    <s v=""/>
  </r>
  <r>
    <x v="2"/>
    <s v="10423"/>
    <x v="21"/>
    <s v="110800113283"/>
    <s v="10023250016462"/>
    <d v="2025-02-07T00:00:00"/>
    <d v="2025-03-09T00:00:00"/>
    <n v="-9"/>
    <n v="3609.25"/>
    <x v="1"/>
    <s v=""/>
    <s v=""/>
    <s v=""/>
  </r>
  <r>
    <x v="2"/>
    <s v="10423"/>
    <x v="21"/>
    <s v="110800113284"/>
    <s v="10023250016463"/>
    <d v="2025-02-07T00:00:00"/>
    <d v="2025-03-09T00:00:00"/>
    <n v="-9"/>
    <n v="733.35"/>
    <x v="1"/>
    <s v=""/>
    <s v=""/>
    <s v=""/>
  </r>
  <r>
    <x v="2"/>
    <s v="10423"/>
    <x v="21"/>
    <s v="110800113285"/>
    <s v="10023250016464"/>
    <d v="2025-02-07T00:00:00"/>
    <d v="2025-03-09T00:00:00"/>
    <n v="-9"/>
    <n v="2834.16"/>
    <x v="1"/>
    <s v=""/>
    <s v=""/>
    <s v=""/>
  </r>
  <r>
    <x v="2"/>
    <s v="10423"/>
    <x v="21"/>
    <s v="110800113286"/>
    <s v="10023250016465"/>
    <d v="2025-02-07T00:00:00"/>
    <d v="2025-03-09T00:00:00"/>
    <n v="-9"/>
    <n v="1637.39"/>
    <x v="1"/>
    <s v=""/>
    <s v=""/>
    <s v=""/>
  </r>
  <r>
    <x v="2"/>
    <s v="10423"/>
    <x v="21"/>
    <s v="110800113287"/>
    <s v="10023250016466"/>
    <d v="2025-02-07T00:00:00"/>
    <d v="2025-03-09T00:00:00"/>
    <n v="-9"/>
    <n v="4434.99"/>
    <x v="1"/>
    <s v=""/>
    <s v=""/>
    <s v=""/>
  </r>
  <r>
    <x v="2"/>
    <s v="10423"/>
    <x v="21"/>
    <s v="110800113288"/>
    <s v="10023250016467"/>
    <d v="2025-02-07T00:00:00"/>
    <d v="2025-03-09T00:00:00"/>
    <n v="-9"/>
    <n v="102.79"/>
    <x v="1"/>
    <s v=""/>
    <s v=""/>
    <s v=""/>
  </r>
  <r>
    <x v="2"/>
    <s v="10423"/>
    <x v="21"/>
    <s v="110800113289"/>
    <s v="10023250016468"/>
    <d v="2025-02-07T00:00:00"/>
    <d v="2025-03-09T00:00:00"/>
    <n v="-9"/>
    <n v="33593.25"/>
    <x v="1"/>
    <s v=""/>
    <s v=""/>
    <s v=""/>
  </r>
  <r>
    <x v="2"/>
    <s v="10423"/>
    <x v="21"/>
    <s v="110800113290"/>
    <s v="10023250016469"/>
    <d v="2025-02-07T00:00:00"/>
    <d v="2025-03-09T00:00:00"/>
    <n v="-9"/>
    <n v="3334.99"/>
    <x v="1"/>
    <s v=""/>
    <s v=""/>
    <s v=""/>
  </r>
  <r>
    <x v="2"/>
    <s v="10423"/>
    <x v="21"/>
    <s v="110800113291"/>
    <s v="10023250016470"/>
    <d v="2025-02-07T00:00:00"/>
    <d v="2025-03-09T00:00:00"/>
    <n v="-9"/>
    <n v="22059.57"/>
    <x v="1"/>
    <s v=""/>
    <s v=""/>
    <s v=""/>
  </r>
  <r>
    <x v="2"/>
    <s v="10423"/>
    <x v="21"/>
    <s v="110800113292"/>
    <s v="10023250016471"/>
    <d v="2025-02-07T00:00:00"/>
    <d v="2025-03-09T00:00:00"/>
    <n v="-9"/>
    <n v="1396.19"/>
    <x v="1"/>
    <s v=""/>
    <s v=""/>
    <s v=""/>
  </r>
  <r>
    <x v="2"/>
    <s v="10423"/>
    <x v="21"/>
    <s v="110800113293"/>
    <s v="10023250016472"/>
    <d v="2025-02-07T00:00:00"/>
    <d v="2025-03-09T00:00:00"/>
    <n v="-9"/>
    <n v="38922.94"/>
    <x v="1"/>
    <s v=""/>
    <s v=""/>
    <s v=""/>
  </r>
  <r>
    <x v="2"/>
    <s v="10423"/>
    <x v="21"/>
    <s v="110800113294"/>
    <s v="10023250016473"/>
    <d v="2025-02-07T00:00:00"/>
    <d v="2025-03-09T00:00:00"/>
    <n v="-9"/>
    <n v="3514.36"/>
    <x v="1"/>
    <s v=""/>
    <s v=""/>
    <s v=""/>
  </r>
  <r>
    <x v="2"/>
    <s v="10423"/>
    <x v="21"/>
    <s v="110800113295"/>
    <s v="10023250016474"/>
    <d v="2025-02-07T00:00:00"/>
    <d v="2025-02-21T00:00:00"/>
    <n v="7"/>
    <n v="1167.81"/>
    <x v="1"/>
    <s v=""/>
    <s v=""/>
    <n v="1167.81"/>
  </r>
  <r>
    <x v="2"/>
    <s v="10423"/>
    <x v="21"/>
    <s v="110800113296"/>
    <s v="10023250016475"/>
    <d v="2025-02-07T00:00:00"/>
    <d v="2025-03-09T00:00:00"/>
    <n v="-9"/>
    <n v="4768.76"/>
    <x v="1"/>
    <s v=""/>
    <s v=""/>
    <s v=""/>
  </r>
  <r>
    <x v="2"/>
    <s v="10423"/>
    <x v="21"/>
    <s v="110800113297"/>
    <s v="10023250016476"/>
    <d v="2025-02-07T00:00:00"/>
    <d v="2025-03-09T00:00:00"/>
    <n v="-9"/>
    <n v="51615.89"/>
    <x v="1"/>
    <s v=""/>
    <s v=""/>
    <s v=""/>
  </r>
  <r>
    <x v="2"/>
    <s v="10423"/>
    <x v="21"/>
    <s v="110800113298"/>
    <s v="10023250016477"/>
    <d v="2025-02-07T00:00:00"/>
    <d v="2025-03-09T00:00:00"/>
    <n v="-9"/>
    <n v="24496.2"/>
    <x v="1"/>
    <s v=""/>
    <s v=""/>
    <s v=""/>
  </r>
  <r>
    <x v="2"/>
    <s v="10423"/>
    <x v="21"/>
    <s v="110800113299"/>
    <s v="10023250016478"/>
    <d v="2025-02-07T00:00:00"/>
    <d v="2025-03-09T00:00:00"/>
    <n v="-9"/>
    <n v="68494.48"/>
    <x v="1"/>
    <s v=""/>
    <s v=""/>
    <s v=""/>
  </r>
  <r>
    <x v="2"/>
    <s v="10423"/>
    <x v="21"/>
    <s v="110800113300"/>
    <s v="10023250016479"/>
    <d v="2025-02-07T00:00:00"/>
    <d v="2025-03-09T00:00:00"/>
    <n v="-9"/>
    <n v="5497.09"/>
    <x v="1"/>
    <s v=""/>
    <s v=""/>
    <s v=""/>
  </r>
  <r>
    <x v="2"/>
    <s v="10423"/>
    <x v="21"/>
    <s v="110800113301"/>
    <s v="10023250016480"/>
    <d v="2025-02-07T00:00:00"/>
    <d v="2025-02-22T00:00:00"/>
    <n v="6"/>
    <n v="22410.58"/>
    <x v="1"/>
    <s v=""/>
    <s v=""/>
    <n v="22410.58"/>
  </r>
  <r>
    <x v="2"/>
    <s v="10423"/>
    <x v="21"/>
    <s v="110800113302"/>
    <s v="10023250016481"/>
    <d v="2025-02-07T00:00:00"/>
    <d v="2025-03-09T00:00:00"/>
    <n v="-9"/>
    <n v="22437.06"/>
    <x v="1"/>
    <s v=""/>
    <s v=""/>
    <s v=""/>
  </r>
  <r>
    <x v="2"/>
    <s v="10423"/>
    <x v="21"/>
    <s v="110800113303"/>
    <s v="10023250016482"/>
    <d v="2025-02-07T00:00:00"/>
    <d v="2025-03-09T00:00:00"/>
    <n v="-9"/>
    <n v="15399.27"/>
    <x v="1"/>
    <s v=""/>
    <s v=""/>
    <s v=""/>
  </r>
  <r>
    <x v="2"/>
    <s v="10423"/>
    <x v="21"/>
    <s v="110800113304"/>
    <s v="10023250016483"/>
    <d v="2025-02-07T00:00:00"/>
    <d v="2025-03-09T00:00:00"/>
    <n v="-9"/>
    <n v="18813.55"/>
    <x v="1"/>
    <s v=""/>
    <s v=""/>
    <s v=""/>
  </r>
  <r>
    <x v="2"/>
    <s v="10423"/>
    <x v="21"/>
    <s v="110800113305"/>
    <s v="10023250016484"/>
    <d v="2025-02-07T00:00:00"/>
    <d v="2025-03-09T00:00:00"/>
    <n v="-9"/>
    <n v="21992.720000000001"/>
    <x v="1"/>
    <s v=""/>
    <s v=""/>
    <s v=""/>
  </r>
  <r>
    <x v="2"/>
    <s v="10423"/>
    <x v="21"/>
    <s v="110800113306"/>
    <s v="10023250016485"/>
    <d v="2025-02-07T00:00:00"/>
    <d v="2025-03-09T00:00:00"/>
    <n v="-9"/>
    <n v="40102.730000000003"/>
    <x v="1"/>
    <s v=""/>
    <s v=""/>
    <s v=""/>
  </r>
  <r>
    <x v="2"/>
    <s v="10423"/>
    <x v="21"/>
    <s v="110800113307"/>
    <s v="10023250016486"/>
    <d v="2025-02-07T00:00:00"/>
    <d v="2025-04-08T00:00:00"/>
    <n v="-39"/>
    <n v="52909.26"/>
    <x v="1"/>
    <s v=""/>
    <s v=""/>
    <s v=""/>
  </r>
  <r>
    <x v="2"/>
    <s v="10423"/>
    <x v="21"/>
    <s v="110800113308"/>
    <s v="10023250016487"/>
    <d v="2025-02-07T00:00:00"/>
    <d v="2025-03-09T00:00:00"/>
    <n v="-9"/>
    <n v="323846.21999999997"/>
    <x v="1"/>
    <s v=""/>
    <s v=""/>
    <s v=""/>
  </r>
  <r>
    <x v="2"/>
    <s v="10423"/>
    <x v="21"/>
    <s v="110800113309"/>
    <s v="10023250016488"/>
    <d v="2025-02-07T00:00:00"/>
    <d v="2025-03-09T00:00:00"/>
    <n v="-9"/>
    <n v="155.81"/>
    <x v="1"/>
    <s v=""/>
    <s v=""/>
    <s v=""/>
  </r>
  <r>
    <x v="2"/>
    <s v="10423"/>
    <x v="21"/>
    <s v="110800113310"/>
    <s v="10023250016489"/>
    <d v="2025-02-07T00:00:00"/>
    <d v="2025-03-09T00:00:00"/>
    <n v="-9"/>
    <n v="8176.42"/>
    <x v="1"/>
    <s v=""/>
    <s v=""/>
    <s v=""/>
  </r>
  <r>
    <x v="2"/>
    <s v="10423"/>
    <x v="21"/>
    <s v="110800113311"/>
    <s v="10023250016490"/>
    <d v="2025-02-07T00:00:00"/>
    <d v="2025-02-21T00:00:00"/>
    <n v="7"/>
    <n v="2159.42"/>
    <x v="1"/>
    <s v=""/>
    <s v=""/>
    <n v="2159.42"/>
  </r>
  <r>
    <x v="2"/>
    <s v="10423"/>
    <x v="21"/>
    <s v="110800113312"/>
    <s v="10023250016491"/>
    <d v="2025-02-07T00:00:00"/>
    <d v="2025-03-09T00:00:00"/>
    <n v="-9"/>
    <n v="7547.44"/>
    <x v="1"/>
    <s v=""/>
    <s v=""/>
    <s v=""/>
  </r>
  <r>
    <x v="2"/>
    <s v="10423"/>
    <x v="21"/>
    <s v="110800113313"/>
    <s v="10023250016492"/>
    <d v="2025-02-07T00:00:00"/>
    <d v="2025-03-09T00:00:00"/>
    <n v="-9"/>
    <n v="10715.96"/>
    <x v="1"/>
    <s v=""/>
    <s v=""/>
    <s v=""/>
  </r>
  <r>
    <x v="2"/>
    <s v="10423"/>
    <x v="21"/>
    <s v="110900038228"/>
    <s v="10023230103361"/>
    <d v="2023-09-30T00:00:00"/>
    <d v="2023-10-30T00:00:00"/>
    <n v="487"/>
    <n v="24240.3"/>
    <x v="1"/>
    <s v=""/>
    <s v=""/>
    <n v="24240.3"/>
  </r>
  <r>
    <x v="2"/>
    <s v="10423"/>
    <x v="21"/>
    <s v="110900092159"/>
    <s v="10023250020536"/>
    <d v="2025-02-27T00:00:00"/>
    <d v="2025-03-13T00:00:00"/>
    <n v="-13"/>
    <n v="4032.64"/>
    <x v="1"/>
    <s v=""/>
    <s v=""/>
    <s v=""/>
  </r>
  <r>
    <x v="2"/>
    <s v="10529"/>
    <x v="22"/>
    <s v="110700104562"/>
    <s v="10023250018767"/>
    <d v="2025-02-16T00:00:00"/>
    <d v="2025-03-02T00:00:00"/>
    <n v="-2"/>
    <n v="242510.38999999998"/>
    <x v="1"/>
    <s v=""/>
    <s v=""/>
    <s v=""/>
  </r>
  <r>
    <x v="2"/>
    <s v="10813"/>
    <x v="23"/>
    <s v="8010157683"/>
    <s v=""/>
    <d v="2024-12-23T00:00:00"/>
    <d v="2024-12-23T00:00:00"/>
    <n v="67"/>
    <n v="-21420"/>
    <x v="1"/>
    <s v=""/>
    <s v=""/>
    <n v="-21420"/>
  </r>
  <r>
    <x v="2"/>
    <s v="10813"/>
    <x v="23"/>
    <s v="8010165626"/>
    <s v=""/>
    <d v="2025-02-13T00:00:00"/>
    <d v="2025-02-13T00:00:00"/>
    <n v="15"/>
    <n v="-12697.71"/>
    <x v="1"/>
    <s v="For invoice 40023240000195"/>
    <s v=""/>
    <n v="-12697.71"/>
  </r>
  <r>
    <x v="2"/>
    <s v="10813"/>
    <x v="23"/>
    <s v="110000112148"/>
    <s v="10023250017839"/>
    <d v="2025-02-12T00:00:00"/>
    <d v="2025-02-26T00:00:00"/>
    <n v="2"/>
    <n v="1065606.6200000001"/>
    <x v="1"/>
    <s v=""/>
    <s v=""/>
    <n v="1065606.6200000001"/>
  </r>
  <r>
    <x v="2"/>
    <s v="10813"/>
    <x v="23"/>
    <s v="110000112149"/>
    <s v="10023250017840"/>
    <d v="2025-02-12T00:00:00"/>
    <d v="2025-02-26T00:00:00"/>
    <n v="2"/>
    <n v="62867.7"/>
    <x v="1"/>
    <s v=""/>
    <s v=""/>
    <n v="62867.7"/>
  </r>
  <r>
    <x v="2"/>
    <s v="10813"/>
    <x v="23"/>
    <s v="110100088056"/>
    <s v="10023240142929"/>
    <d v="2024-12-31T00:00:00"/>
    <d v="2025-02-02T00:00:00"/>
    <n v="26"/>
    <n v="38597.67"/>
    <x v="1"/>
    <s v="* Consulting to PO Number ; Order 45060057"/>
    <s v=""/>
    <n v="38597.67"/>
  </r>
  <r>
    <x v="2"/>
    <s v="10813"/>
    <x v="23"/>
    <s v="110100096556"/>
    <s v="10023250013323"/>
    <d v="2025-01-31T00:00:00"/>
    <d v="2025-03-06T00:00:00"/>
    <n v="-6"/>
    <n v="6689.29"/>
    <x v="1"/>
    <s v="* Consulting to PO Number ; Order 45060057"/>
    <s v=""/>
    <s v=""/>
  </r>
  <r>
    <x v="2"/>
    <s v="10813"/>
    <x v="23"/>
    <s v="110200051693"/>
    <s v="10023240030135"/>
    <d v="2024-03-15T00:00:00"/>
    <d v="2024-03-29T00:00:00"/>
    <n v="336"/>
    <n v="59338.89"/>
    <x v="1"/>
    <s v="@Mail an Kunden 19.12.2024"/>
    <s v=""/>
    <n v="59338.89"/>
  </r>
  <r>
    <x v="2"/>
    <s v="10813"/>
    <x v="23"/>
    <s v="110400097041"/>
    <s v="10023250004287"/>
    <d v="2025-01-15T00:00:00"/>
    <d v="2025-01-29T00:00:00"/>
    <n v="30"/>
    <n v="3994.9"/>
    <x v="1"/>
    <s v=""/>
    <s v=""/>
    <n v="3994.9"/>
  </r>
  <r>
    <x v="2"/>
    <s v="10813"/>
    <x v="23"/>
    <s v="110700103079"/>
    <s v="10023250014096"/>
    <d v="2025-02-05T00:00:00"/>
    <d v="2025-02-19T00:00:00"/>
    <n v="9"/>
    <n v="268071.08999999997"/>
    <x v="1"/>
    <s v=""/>
    <s v=""/>
    <n v="268071.08999999997"/>
  </r>
  <r>
    <x v="2"/>
    <s v="10813"/>
    <x v="23"/>
    <s v="110800112977"/>
    <s v="10023250016156"/>
    <d v="2025-02-07T00:00:00"/>
    <d v="2025-02-21T00:00:00"/>
    <n v="7"/>
    <n v="1689.37"/>
    <x v="1"/>
    <s v=""/>
    <s v=""/>
    <n v="1689.37"/>
  </r>
  <r>
    <x v="2"/>
    <s v="10813"/>
    <x v="23"/>
    <s v="110800112978"/>
    <s v="10023250016157"/>
    <d v="2025-02-07T00:00:00"/>
    <d v="2025-02-21T00:00:00"/>
    <n v="7"/>
    <n v="10841.65"/>
    <x v="1"/>
    <s v=""/>
    <s v=""/>
    <n v="10841.65"/>
  </r>
  <r>
    <x v="2"/>
    <s v="10813"/>
    <x v="23"/>
    <s v="110800112979"/>
    <s v="10023250016158"/>
    <d v="2025-02-07T00:00:00"/>
    <d v="2025-03-09T00:00:00"/>
    <n v="-9"/>
    <n v="40155.82"/>
    <x v="1"/>
    <s v=""/>
    <s v=""/>
    <s v=""/>
  </r>
  <r>
    <x v="2"/>
    <s v="10813"/>
    <x v="23"/>
    <s v="110800112980"/>
    <s v="10023250016159"/>
    <d v="2025-02-07T00:00:00"/>
    <d v="2025-02-21T00:00:00"/>
    <n v="7"/>
    <n v="251.65"/>
    <x v="1"/>
    <s v=""/>
    <s v=""/>
    <n v="251.65"/>
  </r>
  <r>
    <x v="2"/>
    <s v="10813"/>
    <x v="23"/>
    <s v="110800112981"/>
    <s v="10023250016160"/>
    <d v="2025-02-07T00:00:00"/>
    <d v="2025-02-21T00:00:00"/>
    <n v="7"/>
    <n v="6939.84"/>
    <x v="1"/>
    <s v=""/>
    <s v=""/>
    <n v="6939.84"/>
  </r>
  <r>
    <x v="2"/>
    <s v="10813"/>
    <x v="23"/>
    <s v="110800112982"/>
    <s v="10023250016161"/>
    <d v="2025-02-07T00:00:00"/>
    <d v="2025-02-21T00:00:00"/>
    <n v="7"/>
    <n v="2119.2199999999998"/>
    <x v="1"/>
    <s v=""/>
    <s v=""/>
    <n v="2119.2199999999998"/>
  </r>
  <r>
    <x v="2"/>
    <s v="10813"/>
    <x v="23"/>
    <s v="110800112983"/>
    <s v="10023250016162"/>
    <d v="2025-02-07T00:00:00"/>
    <d v="2025-02-21T00:00:00"/>
    <n v="7"/>
    <n v="2473.9499999999998"/>
    <x v="1"/>
    <s v=""/>
    <s v=""/>
    <n v="2473.9499999999998"/>
  </r>
  <r>
    <x v="2"/>
    <s v="10813"/>
    <x v="23"/>
    <s v="110800112984"/>
    <s v="10023250016163"/>
    <d v="2025-02-07T00:00:00"/>
    <d v="2025-02-21T00:00:00"/>
    <n v="7"/>
    <n v="218.29"/>
    <x v="1"/>
    <s v=""/>
    <s v=""/>
    <n v="218.29"/>
  </r>
  <r>
    <x v="2"/>
    <s v="10813"/>
    <x v="23"/>
    <s v="110800112985"/>
    <s v="10023250016164"/>
    <d v="2025-02-07T00:00:00"/>
    <d v="2025-02-21T00:00:00"/>
    <n v="7"/>
    <n v="3086.76"/>
    <x v="1"/>
    <s v=""/>
    <s v=""/>
    <n v="3086.76"/>
  </r>
  <r>
    <x v="2"/>
    <s v="10813"/>
    <x v="23"/>
    <s v="110800112986"/>
    <s v="10023250016165"/>
    <d v="2025-02-07T00:00:00"/>
    <d v="2025-02-21T00:00:00"/>
    <n v="7"/>
    <n v="1702.47"/>
    <x v="1"/>
    <s v=""/>
    <s v=""/>
    <n v="1702.47"/>
  </r>
  <r>
    <x v="2"/>
    <s v="10813"/>
    <x v="23"/>
    <s v="110800112987"/>
    <s v="10023250016166"/>
    <d v="2025-02-07T00:00:00"/>
    <d v="2025-02-21T00:00:00"/>
    <n v="7"/>
    <n v="195.11"/>
    <x v="1"/>
    <s v=""/>
    <s v=""/>
    <n v="195.11"/>
  </r>
  <r>
    <x v="2"/>
    <s v="10813"/>
    <x v="23"/>
    <s v="110900060543"/>
    <s v="10023240097148"/>
    <d v="2024-08-31T00:00:00"/>
    <d v="2024-10-03T00:00:00"/>
    <n v="148"/>
    <n v="10370.85"/>
    <x v="1"/>
    <s v="DC PO bei Spesen fehlt"/>
    <s v=""/>
    <n v="10370.85"/>
  </r>
  <r>
    <x v="2"/>
    <s v="10813"/>
    <x v="23"/>
    <s v="111000187772"/>
    <s v="10023240023706"/>
    <d v="2024-02-20T00:00:00"/>
    <d v="2024-03-05T00:00:00"/>
    <n v="360"/>
    <n v="193.28"/>
    <x v="1"/>
    <s v="@resent 10.12.2024 PO4500568882"/>
    <s v=""/>
    <n v="193.28"/>
  </r>
  <r>
    <x v="2"/>
    <s v="11534"/>
    <x v="24"/>
    <s v="110000064107"/>
    <s v="10023240042176"/>
    <d v="2024-04-08T00:00:00"/>
    <d v="2024-04-22T00:00:00"/>
    <n v="312"/>
    <n v="115.36"/>
    <x v="1"/>
    <s v="@Telco mit Kunde und Laura"/>
    <s v=""/>
    <n v="115.36"/>
  </r>
  <r>
    <x v="2"/>
    <s v="11534"/>
    <x v="24"/>
    <s v="110100062227"/>
    <s v="10023240031132"/>
    <d v="2024-03-20T00:00:00"/>
    <d v="2024-04-03T00:00:00"/>
    <n v="331"/>
    <n v="115.36"/>
    <x v="1"/>
    <s v="@Telco mit Kunde und Laura"/>
    <s v=""/>
    <n v="115.36"/>
  </r>
  <r>
    <x v="2"/>
    <s v="11534"/>
    <x v="24"/>
    <s v="110400076594"/>
    <s v="20023240001820"/>
    <d v="2024-06-24T00:00:00"/>
    <d v="2024-07-24T00:00:00"/>
    <n v="219"/>
    <n v="-654.5"/>
    <x v="1"/>
    <s v="*Referenzkundenaktivität am 10.05.2024"/>
    <s v=""/>
    <n v="-654.5"/>
  </r>
  <r>
    <x v="2"/>
    <s v="11534"/>
    <x v="24"/>
    <s v="110500096595"/>
    <s v="10023250020197"/>
    <d v="2025-02-25T00:00:00"/>
    <d v="2025-03-11T00:00:00"/>
    <n v="-11"/>
    <n v="10710"/>
    <x v="1"/>
    <s v=""/>
    <s v=""/>
    <s v=""/>
  </r>
  <r>
    <x v="2"/>
    <s v="11660"/>
    <x v="25"/>
    <s v="111000248882"/>
    <s v="10023240120369"/>
    <d v="2024-10-28T00:00:00"/>
    <d v="2024-11-27T00:00:00"/>
    <n v="93"/>
    <n v="5950"/>
    <x v="1"/>
    <s v="*Partner package NETWORKING"/>
    <s v=""/>
    <n v="5950"/>
  </r>
  <r>
    <x v="2"/>
    <s v="14592"/>
    <x v="26"/>
    <s v="110800112540"/>
    <s v="10023250015719"/>
    <d v="2025-02-07T00:00:00"/>
    <d v="2025-02-21T00:00:00"/>
    <n v="7"/>
    <n v="620937.43999999994"/>
    <x v="1"/>
    <s v=""/>
    <s v=""/>
    <n v="620937.43999999994"/>
  </r>
  <r>
    <x v="2"/>
    <s v="14592"/>
    <x v="26"/>
    <s v="110800112541"/>
    <s v="10023250015720"/>
    <d v="2025-02-07T00:00:00"/>
    <d v="2025-02-21T00:00:00"/>
    <n v="7"/>
    <n v="36925.19"/>
    <x v="1"/>
    <s v=""/>
    <s v=""/>
    <n v="36925.19"/>
  </r>
  <r>
    <x v="2"/>
    <s v="14592"/>
    <x v="26"/>
    <s v="110800112542"/>
    <s v="10023250015721"/>
    <d v="2025-02-07T00:00:00"/>
    <d v="2025-02-21T00:00:00"/>
    <n v="7"/>
    <n v="94128.9"/>
    <x v="1"/>
    <s v=""/>
    <s v=""/>
    <n v="94128.9"/>
  </r>
  <r>
    <x v="2"/>
    <s v="14592"/>
    <x v="26"/>
    <s v="110800112543"/>
    <s v="10023250015722"/>
    <d v="2025-02-07T00:00:00"/>
    <d v="2025-02-21T00:00:00"/>
    <n v="7"/>
    <n v="42563.33"/>
    <x v="1"/>
    <s v=""/>
    <s v=""/>
    <n v="42563.33"/>
  </r>
  <r>
    <x v="2"/>
    <s v="14592"/>
    <x v="26"/>
    <s v="110800112544"/>
    <s v="10023250015723"/>
    <d v="2025-02-07T00:00:00"/>
    <d v="2025-02-21T00:00:00"/>
    <n v="7"/>
    <n v="16957.5"/>
    <x v="1"/>
    <s v=""/>
    <s v=""/>
    <n v="16957.5"/>
  </r>
  <r>
    <x v="2"/>
    <s v="14592"/>
    <x v="26"/>
    <s v="110800112545"/>
    <s v="10023250015724"/>
    <d v="2025-02-07T00:00:00"/>
    <d v="2025-02-21T00:00:00"/>
    <n v="7"/>
    <n v="15544.38"/>
    <x v="1"/>
    <s v=""/>
    <s v=""/>
    <n v="15544.38"/>
  </r>
  <r>
    <x v="2"/>
    <s v="14592"/>
    <x v="26"/>
    <s v="110800112546"/>
    <s v="10023250015725"/>
    <d v="2025-02-07T00:00:00"/>
    <d v="2025-02-21T00:00:00"/>
    <n v="7"/>
    <n v="8902.69"/>
    <x v="1"/>
    <s v=""/>
    <s v=""/>
    <n v="8902.69"/>
  </r>
  <r>
    <x v="2"/>
    <s v="14592"/>
    <x v="26"/>
    <s v="110800112547"/>
    <s v="10023250015726"/>
    <d v="2025-02-07T00:00:00"/>
    <d v="2025-02-21T00:00:00"/>
    <n v="7"/>
    <n v="41619.07"/>
    <x v="1"/>
    <s v=""/>
    <s v=""/>
    <n v="41619.07"/>
  </r>
  <r>
    <x v="2"/>
    <s v="28133"/>
    <x v="27"/>
    <s v="110000113035"/>
    <s v="10023250018684"/>
    <d v="2025-02-15T00:00:00"/>
    <d v="2025-03-17T00:00:00"/>
    <n v="-17"/>
    <n v="131219.94"/>
    <x v="1"/>
    <s v=""/>
    <s v=""/>
    <s v=""/>
  </r>
  <r>
    <x v="2"/>
    <s v="28133"/>
    <x v="27"/>
    <s v="110200090109"/>
    <s v="10023250019779"/>
    <d v="2025-02-21T00:00:00"/>
    <d v="2025-03-23T00:00:00"/>
    <n v="-23"/>
    <n v="118.35"/>
    <x v="1"/>
    <s v=""/>
    <s v=""/>
    <s v=""/>
  </r>
  <r>
    <x v="2"/>
    <s v="28133"/>
    <x v="27"/>
    <s v="110200090110"/>
    <s v="10023250019780"/>
    <d v="2025-02-21T00:00:00"/>
    <d v="2025-03-23T00:00:00"/>
    <n v="-23"/>
    <n v="26.3"/>
    <x v="1"/>
    <s v=""/>
    <s v=""/>
    <s v=""/>
  </r>
  <r>
    <x v="2"/>
    <s v="28133"/>
    <x v="27"/>
    <s v="110500066400"/>
    <s v="10023240022259"/>
    <d v="2024-02-12T00:00:00"/>
    <d v="2024-03-13T00:00:00"/>
    <n v="352"/>
    <n v="183.37"/>
    <x v="1"/>
    <s v="03.04.2024 Info an AP.BEAS.DE@bertelsmann.de."/>
    <s v=""/>
    <n v="183.37"/>
  </r>
  <r>
    <x v="2"/>
    <s v="28133"/>
    <x v="27"/>
    <s v="110700103014"/>
    <s v="10023250014031"/>
    <d v="2025-02-05T00:00:00"/>
    <d v="2025-03-07T00:00:00"/>
    <n v="-7"/>
    <n v="1810.82"/>
    <x v="1"/>
    <s v=""/>
    <s v=""/>
    <s v=""/>
  </r>
  <r>
    <x v="2"/>
    <s v="28229"/>
    <x v="28"/>
    <s v="110800112180"/>
    <s v="10023250015359"/>
    <d v="2025-02-07T00:00:00"/>
    <d v="2025-02-21T00:00:00"/>
    <n v="7"/>
    <n v="177233.72"/>
    <x v="1"/>
    <s v=""/>
    <s v=""/>
    <n v="177233.72"/>
  </r>
  <r>
    <x v="2"/>
    <s v="30660"/>
    <x v="29"/>
    <s v="990100011786"/>
    <s v="21964784"/>
    <d v="2021-11-16T00:00:00"/>
    <d v="2021-11-16T00:00:00"/>
    <n v="1200"/>
    <n v="-4307.8"/>
    <x v="1"/>
    <s v="19.09.2024 Jacob Gutschrift verschickt"/>
    <s v=""/>
    <n v="-4307.8"/>
  </r>
  <r>
    <x v="2"/>
    <s v="31745"/>
    <x v="30"/>
    <s v="8005044980"/>
    <s v=""/>
    <d v="2024-10-11T00:00:00"/>
    <d v="2024-10-11T00:00:00"/>
    <n v="140"/>
    <n v="-1654.1"/>
    <x v="1"/>
    <s v=""/>
    <s v=""/>
    <n v="-1654.1"/>
  </r>
  <r>
    <x v="2"/>
    <s v="34928"/>
    <x v="31"/>
    <s v="110100084819"/>
    <s v="10023240135729"/>
    <d v="2024-12-05T00:00:00"/>
    <d v="2024-12-19T00:00:00"/>
    <n v="71"/>
    <n v="7781.03"/>
    <x v="1"/>
    <s v=""/>
    <s v=""/>
    <n v="7781.03"/>
  </r>
  <r>
    <x v="2"/>
    <s v="34928"/>
    <x v="31"/>
    <s v="110100095258"/>
    <s v="10023250012176"/>
    <d v="2025-01-30T00:00:00"/>
    <d v="2025-03-01T00:00:00"/>
    <n v="-1"/>
    <n v="2998.8"/>
    <x v="1"/>
    <s v="0111460845_001_001/E71800497/0019235001"/>
    <s v=""/>
    <s v=""/>
  </r>
  <r>
    <x v="2"/>
    <s v="34928"/>
    <x v="31"/>
    <s v="110200090127"/>
    <s v="10023250019797"/>
    <d v="2025-02-21T00:00:00"/>
    <d v="2025-03-07T00:00:00"/>
    <n v="-7"/>
    <n v="3182.57"/>
    <x v="1"/>
    <s v=""/>
    <s v=""/>
    <s v=""/>
  </r>
  <r>
    <x v="2"/>
    <s v="34928"/>
    <x v="31"/>
    <s v="110300088326"/>
    <s v="10023250017018"/>
    <d v="2025-02-08T00:00:00"/>
    <d v="2025-02-22T00:00:00"/>
    <n v="6"/>
    <n v="13239.24"/>
    <x v="1"/>
    <s v=""/>
    <s v=""/>
    <n v="13239.24"/>
  </r>
  <r>
    <x v="2"/>
    <s v="34928"/>
    <x v="31"/>
    <s v="110800112889"/>
    <s v="10023250016068"/>
    <d v="2025-02-07T00:00:00"/>
    <d v="2025-02-21T00:00:00"/>
    <n v="7"/>
    <n v="35926.9"/>
    <x v="1"/>
    <s v=""/>
    <s v=""/>
    <n v="35926.9"/>
  </r>
  <r>
    <x v="2"/>
    <s v="34928"/>
    <x v="31"/>
    <s v="110800112890"/>
    <s v="10023250016069"/>
    <d v="2025-02-07T00:00:00"/>
    <d v="2025-02-21T00:00:00"/>
    <n v="7"/>
    <n v="13661.87"/>
    <x v="1"/>
    <s v=""/>
    <s v=""/>
    <n v="13661.87"/>
  </r>
  <r>
    <x v="2"/>
    <s v="34928"/>
    <x v="31"/>
    <s v="110800112891"/>
    <s v="10023250016070"/>
    <d v="2025-02-07T00:00:00"/>
    <d v="2025-02-21T00:00:00"/>
    <n v="7"/>
    <n v="377471.84"/>
    <x v="1"/>
    <s v=""/>
    <s v=""/>
    <n v="377471.84"/>
  </r>
  <r>
    <x v="2"/>
    <s v="34928"/>
    <x v="31"/>
    <s v="110800112892"/>
    <s v="10023250016071"/>
    <d v="2025-02-07T00:00:00"/>
    <d v="2025-02-21T00:00:00"/>
    <n v="7"/>
    <n v="441694.92"/>
    <x v="1"/>
    <s v=""/>
    <s v=""/>
    <n v="441694.92"/>
  </r>
  <r>
    <x v="2"/>
    <s v="34928"/>
    <x v="31"/>
    <s v="110900092511"/>
    <s v="20023250000573"/>
    <d v="2025-02-27T00:00:00"/>
    <d v="2025-02-27T00:00:00"/>
    <n v="1"/>
    <n v="-32674"/>
    <x v="1"/>
    <s v=""/>
    <s v=""/>
    <n v="-32674"/>
  </r>
  <r>
    <x v="2"/>
    <s v="37743"/>
    <x v="32"/>
    <s v="8003040388"/>
    <s v=""/>
    <d v="2024-05-06T00:00:00"/>
    <d v="2024-05-06T00:00:00"/>
    <n v="298"/>
    <n v="-8728.7000000000007"/>
    <x v="1"/>
    <s v=""/>
    <s v=""/>
    <n v="-8728.7000000000007"/>
  </r>
  <r>
    <x v="2"/>
    <s v="37743"/>
    <x v="32"/>
    <s v="8006013287"/>
    <s v=""/>
    <d v="2022-12-01T00:00:00"/>
    <d v="2022-11-30T00:00:00"/>
    <n v="821"/>
    <n v="-1963.5"/>
    <x v="1"/>
    <s v="CN 30023220000487/Erkl.an Kd. 23-10"/>
    <s v=""/>
    <n v="-1963.5"/>
  </r>
  <r>
    <x v="2"/>
    <s v="37743"/>
    <x v="32"/>
    <s v="110100097197"/>
    <s v="10023250017325"/>
    <d v="2025-02-10T00:00:00"/>
    <d v="2025-02-24T00:00:00"/>
    <n v="4"/>
    <n v="1999.2"/>
    <x v="1"/>
    <s v="0111493479_001_001/E71878053/0026761756"/>
    <s v=""/>
    <n v="1999.2"/>
  </r>
  <r>
    <x v="2"/>
    <s v="37743"/>
    <x v="32"/>
    <s v="110100097198"/>
    <s v="10023250017326"/>
    <d v="2025-02-10T00:00:00"/>
    <d v="2025-02-24T00:00:00"/>
    <n v="4"/>
    <n v="1999.2"/>
    <x v="1"/>
    <s v="0111493480_001_001/E71878053/0026761763"/>
    <s v=""/>
    <n v="1999.2"/>
  </r>
  <r>
    <x v="2"/>
    <s v="37743"/>
    <x v="32"/>
    <s v="110300089650"/>
    <s v="10023250018299"/>
    <d v="2025-02-14T00:00:00"/>
    <d v="2025-02-28T00:00:00"/>
    <n v="0"/>
    <n v="7938.7"/>
    <x v="1"/>
    <s v=""/>
    <s v=""/>
    <s v=""/>
  </r>
  <r>
    <x v="2"/>
    <s v="37743"/>
    <x v="32"/>
    <s v="110300089651"/>
    <s v="10023250018300"/>
    <d v="2025-02-14T00:00:00"/>
    <d v="2025-02-28T00:00:00"/>
    <n v="0"/>
    <n v="1547.3"/>
    <x v="1"/>
    <s v=""/>
    <s v=""/>
    <s v=""/>
  </r>
  <r>
    <x v="2"/>
    <s v="37743"/>
    <x v="32"/>
    <s v="110300089652"/>
    <s v="10023250018301"/>
    <d v="2025-02-14T00:00:00"/>
    <d v="2025-02-28T00:00:00"/>
    <n v="0"/>
    <n v="246.22"/>
    <x v="1"/>
    <s v=""/>
    <s v=""/>
    <s v=""/>
  </r>
  <r>
    <x v="2"/>
    <s v="37743"/>
    <x v="32"/>
    <s v="110300089653"/>
    <s v="10023250018302"/>
    <d v="2025-02-14T00:00:00"/>
    <d v="2025-02-28T00:00:00"/>
    <n v="0"/>
    <n v="150398.96"/>
    <x v="1"/>
    <s v=""/>
    <s v=""/>
    <s v=""/>
  </r>
  <r>
    <x v="2"/>
    <s v="37743"/>
    <x v="32"/>
    <s v="110300089654"/>
    <s v="10023250018303"/>
    <d v="2025-02-14T00:00:00"/>
    <d v="2025-02-28T00:00:00"/>
    <n v="0"/>
    <n v="3556.47"/>
    <x v="1"/>
    <s v=""/>
    <s v=""/>
    <s v=""/>
  </r>
  <r>
    <x v="2"/>
    <s v="37743"/>
    <x v="32"/>
    <s v="110300089655"/>
    <s v="10023250018304"/>
    <d v="2025-02-14T00:00:00"/>
    <d v="2025-03-16T00:00:00"/>
    <n v="-16"/>
    <n v="24257.59"/>
    <x v="1"/>
    <s v=""/>
    <s v=""/>
    <s v=""/>
  </r>
  <r>
    <x v="2"/>
    <s v="37743"/>
    <x v="32"/>
    <s v="110300089656"/>
    <s v="10023250018305"/>
    <d v="2025-02-14T00:00:00"/>
    <d v="2025-03-16T00:00:00"/>
    <n v="-16"/>
    <n v="195301.42"/>
    <x v="1"/>
    <s v=""/>
    <s v=""/>
    <s v=""/>
  </r>
  <r>
    <x v="2"/>
    <s v="37743"/>
    <x v="32"/>
    <s v="110300089657"/>
    <s v="10023250018306"/>
    <d v="2025-02-14T00:00:00"/>
    <d v="2025-02-28T00:00:00"/>
    <n v="0"/>
    <n v="212915.12"/>
    <x v="1"/>
    <s v=""/>
    <s v=""/>
    <s v=""/>
  </r>
  <r>
    <x v="2"/>
    <s v="144690"/>
    <x v="33"/>
    <s v="110100096550"/>
    <s v="10023250013316"/>
    <d v="2025-01-31T00:00:00"/>
    <d v="2025-03-06T00:00:00"/>
    <n v="-6"/>
    <n v="1344.7"/>
    <x v="1"/>
    <s v="* Consulting to PO Number ; Order"/>
    <s v=""/>
    <s v=""/>
  </r>
  <r>
    <x v="2"/>
    <s v="144690"/>
    <x v="33"/>
    <s v="110200090051"/>
    <s v="10023250019721"/>
    <d v="2025-02-21T00:00:00"/>
    <d v="2025-03-07T00:00:00"/>
    <n v="-7"/>
    <n v="154.69999999999999"/>
    <x v="1"/>
    <s v=""/>
    <s v=""/>
    <s v=""/>
  </r>
  <r>
    <x v="2"/>
    <s v="291210"/>
    <x v="25"/>
    <s v="8002049835"/>
    <s v=""/>
    <d v="2025-02-04T00:00:00"/>
    <d v="2025-02-04T00:00:00"/>
    <n v="24"/>
    <n v="-4998"/>
    <x v="1"/>
    <s v=""/>
    <s v=""/>
    <n v="-4998"/>
  </r>
  <r>
    <x v="2"/>
    <s v="291210"/>
    <x v="25"/>
    <s v="8009050327"/>
    <s v=""/>
    <d v="2024-10-25T00:00:00"/>
    <d v="2024-10-25T00:00:00"/>
    <n v="126"/>
    <n v="-4072.92"/>
    <x v="1"/>
    <s v=""/>
    <s v=""/>
    <n v="-4072.92"/>
  </r>
  <r>
    <x v="2"/>
    <s v="291210"/>
    <x v="25"/>
    <s v="8010151488"/>
    <s v=""/>
    <d v="2024-11-13T00:00:00"/>
    <d v="2024-11-13T00:00:00"/>
    <n v="107"/>
    <n v="-81.75"/>
    <x v="1"/>
    <s v="Pmt for INV 10023240108167 clrd 8009050327"/>
    <s v=""/>
    <n v="-81.75"/>
  </r>
  <r>
    <x v="2"/>
    <s v="291210"/>
    <x v="25"/>
    <s v="110800107430"/>
    <s v="10023250005600"/>
    <d v="2025-01-23T00:00:00"/>
    <d v="2025-02-06T00:00:00"/>
    <n v="22"/>
    <n v="3132.4"/>
    <x v="1"/>
    <s v=""/>
    <s v=""/>
    <n v="3132.4"/>
  </r>
  <r>
    <x v="2"/>
    <s v="291210"/>
    <x v="25"/>
    <s v="110800107431"/>
    <s v="10023250005601"/>
    <d v="2025-01-23T00:00:00"/>
    <d v="2025-02-22T00:00:00"/>
    <n v="6"/>
    <n v="2093.81"/>
    <x v="1"/>
    <s v=""/>
    <s v=""/>
    <n v="2093.81"/>
  </r>
  <r>
    <x v="2"/>
    <s v="291210"/>
    <x v="25"/>
    <s v="110800107432"/>
    <s v="10023250005602"/>
    <d v="2025-01-23T00:00:00"/>
    <d v="2025-02-06T00:00:00"/>
    <n v="22"/>
    <n v="8297.49"/>
    <x v="1"/>
    <s v=""/>
    <s v=""/>
    <n v="8297.49"/>
  </r>
  <r>
    <x v="2"/>
    <s v="291210"/>
    <x v="25"/>
    <s v="110800107433"/>
    <s v="10023250005603"/>
    <d v="2025-01-23T00:00:00"/>
    <d v="2025-02-06T00:00:00"/>
    <n v="22"/>
    <n v="27809.82"/>
    <x v="1"/>
    <s v=""/>
    <s v=""/>
    <n v="27809.82"/>
  </r>
  <r>
    <x v="2"/>
    <s v="291210"/>
    <x v="25"/>
    <s v="110800107436"/>
    <s v="10023250005606"/>
    <d v="2025-01-23T00:00:00"/>
    <d v="2025-02-22T00:00:00"/>
    <n v="6"/>
    <n v="1851.14"/>
    <x v="1"/>
    <s v=""/>
    <s v=""/>
    <n v="1851.14"/>
  </r>
  <r>
    <x v="2"/>
    <s v="291210"/>
    <x v="25"/>
    <s v="110800107443"/>
    <s v="10023250005613"/>
    <d v="2025-01-23T00:00:00"/>
    <d v="2025-02-22T00:00:00"/>
    <n v="6"/>
    <n v="3429.93"/>
    <x v="1"/>
    <s v=""/>
    <s v=""/>
    <n v="3429.93"/>
  </r>
  <r>
    <x v="2"/>
    <s v="291210"/>
    <x v="25"/>
    <s v="110800107446"/>
    <s v="10023250005616"/>
    <d v="2025-01-23T00:00:00"/>
    <d v="2025-02-22T00:00:00"/>
    <n v="6"/>
    <n v="2690.07"/>
    <x v="1"/>
    <s v=""/>
    <s v=""/>
    <n v="2690.07"/>
  </r>
  <r>
    <x v="2"/>
    <s v="291210"/>
    <x v="25"/>
    <s v="110800107447"/>
    <s v="10023250005617"/>
    <d v="2025-01-23T00:00:00"/>
    <d v="2025-02-22T00:00:00"/>
    <n v="6"/>
    <n v="600.76"/>
    <x v="1"/>
    <s v=""/>
    <s v=""/>
    <n v="600.76"/>
  </r>
  <r>
    <x v="2"/>
    <s v="291210"/>
    <x v="25"/>
    <s v="110800107448"/>
    <s v="10023250005618"/>
    <d v="2025-01-23T00:00:00"/>
    <d v="2025-02-22T00:00:00"/>
    <n v="6"/>
    <n v="2207.34"/>
    <x v="1"/>
    <s v=""/>
    <s v=""/>
    <n v="2207.34"/>
  </r>
  <r>
    <x v="2"/>
    <s v="291210"/>
    <x v="25"/>
    <s v="110800107450"/>
    <s v="10023250005620"/>
    <d v="2025-01-23T00:00:00"/>
    <d v="2025-02-22T00:00:00"/>
    <n v="6"/>
    <n v="1158.56"/>
    <x v="1"/>
    <s v=""/>
    <s v=""/>
    <n v="1158.56"/>
  </r>
  <r>
    <x v="2"/>
    <s v="291210"/>
    <x v="25"/>
    <s v="110800107454"/>
    <s v="10023250005624"/>
    <d v="2025-01-23T00:00:00"/>
    <d v="2025-02-22T00:00:00"/>
    <n v="6"/>
    <n v="1911.91"/>
    <x v="1"/>
    <s v=""/>
    <s v=""/>
    <n v="1911.91"/>
  </r>
  <r>
    <x v="2"/>
    <s v="291210"/>
    <x v="25"/>
    <s v="110800107457"/>
    <s v="10023250005627"/>
    <d v="2025-01-23T00:00:00"/>
    <d v="2025-02-22T00:00:00"/>
    <n v="6"/>
    <n v="312.57"/>
    <x v="1"/>
    <s v=""/>
    <s v=""/>
    <n v="312.57"/>
  </r>
  <r>
    <x v="2"/>
    <s v="291210"/>
    <x v="25"/>
    <s v="110800107459"/>
    <s v="10023250005629"/>
    <d v="2025-01-23T00:00:00"/>
    <d v="2025-02-22T00:00:00"/>
    <n v="6"/>
    <n v="977.06"/>
    <x v="1"/>
    <s v=""/>
    <s v=""/>
    <n v="977.06"/>
  </r>
  <r>
    <x v="2"/>
    <s v="291210"/>
    <x v="25"/>
    <s v="110800107464"/>
    <s v="10023250005634"/>
    <d v="2025-01-23T00:00:00"/>
    <d v="2025-02-22T00:00:00"/>
    <n v="6"/>
    <n v="84.62"/>
    <x v="1"/>
    <s v=""/>
    <s v=""/>
    <n v="84.62"/>
  </r>
  <r>
    <x v="2"/>
    <s v="291210"/>
    <x v="25"/>
    <s v="110800107465"/>
    <s v="10023250005635"/>
    <d v="2025-01-23T00:00:00"/>
    <d v="2025-02-22T00:00:00"/>
    <n v="6"/>
    <n v="439.57"/>
    <x v="1"/>
    <s v=""/>
    <s v=""/>
    <n v="439.57"/>
  </r>
  <r>
    <x v="2"/>
    <s v="291210"/>
    <x v="25"/>
    <s v="110800107466"/>
    <s v="10023250005636"/>
    <d v="2025-01-23T00:00:00"/>
    <d v="2025-02-22T00:00:00"/>
    <n v="6"/>
    <n v="358.75"/>
    <x v="1"/>
    <s v=""/>
    <s v=""/>
    <n v="358.75"/>
  </r>
  <r>
    <x v="2"/>
    <s v="291210"/>
    <x v="25"/>
    <s v="110800107467"/>
    <s v="10023250005637"/>
    <d v="2025-01-23T00:00:00"/>
    <d v="2025-02-22T00:00:00"/>
    <n v="6"/>
    <n v="1289.4100000000001"/>
    <x v="1"/>
    <s v=""/>
    <s v=""/>
    <n v="1289.4100000000001"/>
  </r>
  <r>
    <x v="2"/>
    <s v="291210"/>
    <x v="25"/>
    <s v="110800107469"/>
    <s v="10023250005639"/>
    <d v="2025-01-23T00:00:00"/>
    <d v="2025-02-22T00:00:00"/>
    <n v="6"/>
    <n v="1618.47"/>
    <x v="1"/>
    <s v=""/>
    <s v=""/>
    <n v="1618.47"/>
  </r>
  <r>
    <x v="2"/>
    <s v="291210"/>
    <x v="25"/>
    <s v="110800107470"/>
    <s v="10023250005640"/>
    <d v="2025-01-23T00:00:00"/>
    <d v="2025-02-22T00:00:00"/>
    <n v="6"/>
    <n v="164719.41"/>
    <x v="1"/>
    <s v=""/>
    <s v=""/>
    <n v="164719.41"/>
  </r>
  <r>
    <x v="2"/>
    <s v="291210"/>
    <x v="25"/>
    <s v="110800107476"/>
    <s v="10023250005646"/>
    <d v="2025-01-23T00:00:00"/>
    <d v="2025-02-22T00:00:00"/>
    <n v="6"/>
    <n v="1060.1099999999999"/>
    <x v="1"/>
    <s v=""/>
    <s v=""/>
    <n v="1060.1099999999999"/>
  </r>
  <r>
    <x v="2"/>
    <s v="291210"/>
    <x v="25"/>
    <s v="110800107479"/>
    <s v="10023250005649"/>
    <d v="2025-01-23T00:00:00"/>
    <d v="2025-03-24T00:00:00"/>
    <n v="-24"/>
    <n v="370.88"/>
    <x v="1"/>
    <s v=""/>
    <s v=""/>
    <s v=""/>
  </r>
  <r>
    <x v="2"/>
    <s v="291210"/>
    <x v="25"/>
    <s v="110800107480"/>
    <s v="10023250005650"/>
    <d v="2025-01-23T00:00:00"/>
    <d v="2025-02-22T00:00:00"/>
    <n v="6"/>
    <n v="619.19000000000005"/>
    <x v="1"/>
    <s v=""/>
    <s v=""/>
    <n v="619.19000000000005"/>
  </r>
  <r>
    <x v="2"/>
    <s v="291210"/>
    <x v="25"/>
    <s v="110800107483"/>
    <s v="10023250005653"/>
    <d v="2025-01-23T00:00:00"/>
    <d v="2025-02-22T00:00:00"/>
    <n v="6"/>
    <n v="1582.49"/>
    <x v="1"/>
    <s v=""/>
    <s v=""/>
    <n v="1582.49"/>
  </r>
  <r>
    <x v="2"/>
    <s v="291210"/>
    <x v="25"/>
    <s v="110800107484"/>
    <s v="10023250005654"/>
    <d v="2025-01-23T00:00:00"/>
    <d v="2025-02-22T00:00:00"/>
    <n v="6"/>
    <n v="327.19"/>
    <x v="1"/>
    <s v=""/>
    <s v=""/>
    <n v="327.19"/>
  </r>
  <r>
    <x v="2"/>
    <s v="291210"/>
    <x v="25"/>
    <s v="110800107485"/>
    <s v="10023250005655"/>
    <d v="2025-01-23T00:00:00"/>
    <d v="2025-02-22T00:00:00"/>
    <n v="6"/>
    <n v="160.04"/>
    <x v="1"/>
    <s v=""/>
    <s v=""/>
    <n v="160.04"/>
  </r>
  <r>
    <x v="2"/>
    <s v="291210"/>
    <x v="25"/>
    <s v="110800107486"/>
    <s v="10023250005656"/>
    <d v="2025-01-23T00:00:00"/>
    <d v="2025-02-06T00:00:00"/>
    <n v="22"/>
    <n v="843"/>
    <x v="1"/>
    <s v=""/>
    <s v=""/>
    <n v="843"/>
  </r>
  <r>
    <x v="2"/>
    <s v="291210"/>
    <x v="25"/>
    <s v="110800107487"/>
    <s v="10023250005657"/>
    <d v="2025-01-23T00:00:00"/>
    <d v="2025-02-22T00:00:00"/>
    <n v="6"/>
    <n v="409.53"/>
    <x v="1"/>
    <s v=""/>
    <s v=""/>
    <n v="409.53"/>
  </r>
  <r>
    <x v="2"/>
    <s v="291210"/>
    <x v="25"/>
    <s v="110800107488"/>
    <s v="10023250005658"/>
    <d v="2025-01-23T00:00:00"/>
    <d v="2025-02-22T00:00:00"/>
    <n v="6"/>
    <n v="409.53"/>
    <x v="1"/>
    <s v=""/>
    <s v=""/>
    <n v="409.53"/>
  </r>
  <r>
    <x v="2"/>
    <s v="291210"/>
    <x v="25"/>
    <s v="110900060521"/>
    <s v="10023240097125"/>
    <d v="2024-08-31T00:00:00"/>
    <d v="2024-10-03T00:00:00"/>
    <n v="148"/>
    <n v="776.48"/>
    <x v="1"/>
    <s v="* Consulting to PO Number ; Order 45063619"/>
    <s v=""/>
    <n v="776.48"/>
  </r>
  <r>
    <x v="2"/>
    <s v="291210"/>
    <x v="25"/>
    <s v="110900078764"/>
    <s v="10023240139691"/>
    <d v="2024-12-19T00:00:00"/>
    <d v="2025-01-18T00:00:00"/>
    <n v="41"/>
    <n v="68212.88"/>
    <x v="1"/>
    <s v=""/>
    <s v=""/>
    <n v="68212.88"/>
  </r>
  <r>
    <x v="2"/>
    <s v="291210"/>
    <x v="25"/>
    <s v="110900092056"/>
    <s v="10023250020433"/>
    <d v="2025-02-27T00:00:00"/>
    <d v="2025-03-29T00:00:00"/>
    <n v="-29"/>
    <n v="1941.45"/>
    <x v="1"/>
    <s v=""/>
    <s v=""/>
    <s v=""/>
  </r>
  <r>
    <x v="2"/>
    <s v="291210"/>
    <x v="25"/>
    <s v="111000246401"/>
    <s v="10023240107254"/>
    <d v="2024-10-11T00:00:00"/>
    <d v="2024-11-10T00:00:00"/>
    <n v="110"/>
    <n v="1654.1"/>
    <x v="1"/>
    <s v="*Lea Horn"/>
    <s v=""/>
    <n v="1654.1"/>
  </r>
  <r>
    <x v="2"/>
    <s v="291210"/>
    <x v="25"/>
    <s v="111000246926"/>
    <s v="10023240117956"/>
    <d v="2024-10-16T00:00:00"/>
    <d v="2024-10-30T00:00:00"/>
    <n v="121"/>
    <n v="238"/>
    <x v="1"/>
    <s v="*Carsten Reichert"/>
    <s v=""/>
    <n v="238"/>
  </r>
  <r>
    <x v="2"/>
    <s v="291210"/>
    <x v="25"/>
    <s v="111000265388"/>
    <s v="10023250004994"/>
    <d v="2025-01-20T00:00:00"/>
    <d v="2025-02-19T00:00:00"/>
    <n v="9"/>
    <n v="61308.800000000003"/>
    <x v="1"/>
    <s v=""/>
    <s v=""/>
    <n v="61308.800000000003"/>
  </r>
  <r>
    <x v="2"/>
    <s v="291210"/>
    <x v="25"/>
    <s v="111000266505"/>
    <s v="10023250011605"/>
    <d v="2025-01-28T00:00:00"/>
    <d v="2025-02-27T00:00:00"/>
    <n v="1"/>
    <n v="19992"/>
    <x v="1"/>
    <s v="0111487267_001_001/E71877685/0026747449"/>
    <s v=""/>
    <n v="19992"/>
  </r>
  <r>
    <x v="2"/>
    <s v="299765"/>
    <x v="34"/>
    <s v="110200084941"/>
    <s v="10023250010360"/>
    <d v="2025-01-27T00:00:00"/>
    <d v="2025-02-26T00:00:00"/>
    <n v="2"/>
    <n v="2145.13"/>
    <x v="1"/>
    <s v=""/>
    <s v=""/>
    <n v="2145.13"/>
  </r>
  <r>
    <x v="2"/>
    <s v="299765"/>
    <x v="34"/>
    <s v="110200084942"/>
    <s v="10023250010361"/>
    <d v="2025-01-27T00:00:00"/>
    <d v="2025-02-26T00:00:00"/>
    <n v="2"/>
    <n v="1099697.3899999999"/>
    <x v="1"/>
    <s v=""/>
    <s v=""/>
    <n v="1099697.3899999999"/>
  </r>
  <r>
    <x v="2"/>
    <s v="299765"/>
    <x v="34"/>
    <s v="110700102796"/>
    <s v="10023250013813"/>
    <d v="2025-02-05T00:00:00"/>
    <d v="2025-03-07T00:00:00"/>
    <n v="-7"/>
    <n v="2719.48"/>
    <x v="1"/>
    <s v=""/>
    <s v=""/>
    <s v=""/>
  </r>
  <r>
    <x v="2"/>
    <s v="299765"/>
    <x v="34"/>
    <s v="110700102797"/>
    <s v="10023250013814"/>
    <d v="2025-02-05T00:00:00"/>
    <d v="2025-03-07T00:00:00"/>
    <n v="-7"/>
    <n v="165605.20000000001"/>
    <x v="1"/>
    <s v=""/>
    <s v=""/>
    <s v=""/>
  </r>
  <r>
    <x v="2"/>
    <s v="299765"/>
    <x v="34"/>
    <s v="110700102798"/>
    <s v="10023250013815"/>
    <d v="2025-02-05T00:00:00"/>
    <d v="2025-03-07T00:00:00"/>
    <n v="-7"/>
    <n v="187600.32"/>
    <x v="1"/>
    <s v=""/>
    <s v=""/>
    <s v=""/>
  </r>
  <r>
    <x v="2"/>
    <s v="299765"/>
    <x v="34"/>
    <s v="110700102799"/>
    <s v="10023250013816"/>
    <d v="2025-02-05T00:00:00"/>
    <d v="2025-03-07T00:00:00"/>
    <n v="-7"/>
    <n v="1115.73"/>
    <x v="1"/>
    <s v=""/>
    <s v=""/>
    <s v=""/>
  </r>
  <r>
    <x v="2"/>
    <s v="299765"/>
    <x v="34"/>
    <s v="110700102800"/>
    <s v="10023250013817"/>
    <d v="2025-02-05T00:00:00"/>
    <d v="2025-03-07T00:00:00"/>
    <n v="-7"/>
    <n v="253950.91000000003"/>
    <x v="1"/>
    <s v=""/>
    <s v=""/>
    <s v=""/>
  </r>
  <r>
    <x v="2"/>
    <s v="299765"/>
    <x v="34"/>
    <s v="111000268491"/>
    <s v="10023250013446"/>
    <d v="2025-01-31T00:00:00"/>
    <d v="2025-03-06T00:00:00"/>
    <n v="-6"/>
    <n v="7934.33"/>
    <x v="1"/>
    <s v="* Consulting to PO Number 1100055909 ; Order"/>
    <s v=""/>
    <s v=""/>
  </r>
  <r>
    <x v="2"/>
    <s v="372849"/>
    <x v="35"/>
    <s v="110100090719"/>
    <s v="10023250001317"/>
    <d v="2025-01-05T00:00:00"/>
    <d v="2025-01-19T00:00:00"/>
    <n v="40"/>
    <n v="138248.18"/>
    <x v="1"/>
    <s v=""/>
    <s v=""/>
    <n v="138248.18"/>
  </r>
  <r>
    <x v="2"/>
    <s v="372849"/>
    <x v="35"/>
    <s v="110200082254"/>
    <s v="20023250000048"/>
    <d v="2025-01-06T00:00:00"/>
    <d v="2025-01-06T00:00:00"/>
    <n v="53"/>
    <n v="-2619.08"/>
    <x v="1"/>
    <s v="Info von Vendy an AE-Gten erstellt @17.2."/>
    <s v=""/>
    <n v="-2619.08"/>
  </r>
  <r>
    <x v="2"/>
    <s v="372849"/>
    <x v="35"/>
    <s v="110200082255"/>
    <s v="20023250000049"/>
    <d v="2025-01-06T00:00:00"/>
    <d v="2025-01-06T00:00:00"/>
    <n v="53"/>
    <n v="-8282.1299999999992"/>
    <x v="1"/>
    <s v="Info von Vendy an AE-Gten erstellt @17.2."/>
    <s v=""/>
    <n v="-8282.1299999999992"/>
  </r>
  <r>
    <x v="2"/>
    <s v="372849"/>
    <x v="35"/>
    <s v="110200082256"/>
    <s v="20023250000050"/>
    <d v="2025-01-06T00:00:00"/>
    <d v="2025-01-19T00:00:00"/>
    <n v="40"/>
    <n v="-229770.02"/>
    <x v="1"/>
    <s v="Info von Vendy an AE-Gten erstellt @17.2."/>
    <s v=""/>
    <n v="-229770.02"/>
  </r>
  <r>
    <x v="2"/>
    <s v="372849"/>
    <x v="35"/>
    <s v="110800108580"/>
    <s v="10023250006750"/>
    <d v="2025-01-23T00:00:00"/>
    <d v="2025-02-06T00:00:00"/>
    <n v="22"/>
    <n v="12307.74"/>
    <x v="1"/>
    <s v=""/>
    <s v=""/>
    <n v="12307.74"/>
  </r>
  <r>
    <x v="2"/>
    <s v="372849"/>
    <x v="35"/>
    <s v="110800108581"/>
    <s v="10023250006751"/>
    <d v="2025-01-23T00:00:00"/>
    <d v="2025-02-06T00:00:00"/>
    <n v="22"/>
    <n v="9107.3700000000008"/>
    <x v="1"/>
    <s v=""/>
    <s v=""/>
    <n v="9107.3700000000008"/>
  </r>
  <r>
    <x v="2"/>
    <s v="372849"/>
    <x v="35"/>
    <s v="110800108582"/>
    <s v="10023250006752"/>
    <d v="2025-01-23T00:00:00"/>
    <d v="2025-02-06T00:00:00"/>
    <n v="22"/>
    <n v="45267.75"/>
    <x v="1"/>
    <s v=""/>
    <s v=""/>
    <n v="45267.75"/>
  </r>
  <r>
    <x v="2"/>
    <s v="401131"/>
    <x v="36"/>
    <s v="110100097242"/>
    <s v="10023250017370"/>
    <d v="2025-02-10T00:00:00"/>
    <d v="2025-02-24T00:00:00"/>
    <n v="4"/>
    <n v="539828.56999999995"/>
    <x v="1"/>
    <s v=""/>
    <s v=""/>
    <n v="539828.56999999995"/>
  </r>
  <r>
    <x v="2"/>
    <s v="401131"/>
    <x v="36"/>
    <s v="110100097243"/>
    <s v="10023250017371"/>
    <d v="2025-02-10T00:00:00"/>
    <d v="2025-02-24T00:00:00"/>
    <n v="4"/>
    <n v="236510.43"/>
    <x v="1"/>
    <s v=""/>
    <s v=""/>
    <n v="236510.43"/>
  </r>
  <r>
    <x v="2"/>
    <s v="401131"/>
    <x v="36"/>
    <s v="110100097244"/>
    <s v="10023250017372"/>
    <d v="2025-02-10T00:00:00"/>
    <d v="2025-02-24T00:00:00"/>
    <n v="4"/>
    <n v="43404.06"/>
    <x v="1"/>
    <s v=""/>
    <s v=""/>
    <n v="43404.06"/>
  </r>
  <r>
    <x v="2"/>
    <s v="401131"/>
    <x v="36"/>
    <s v="110100097245"/>
    <s v="10023250017373"/>
    <d v="2025-02-10T00:00:00"/>
    <d v="2025-02-24T00:00:00"/>
    <n v="4"/>
    <n v="406487.39"/>
    <x v="1"/>
    <s v=""/>
    <s v=""/>
    <n v="406487.39"/>
  </r>
  <r>
    <x v="2"/>
    <s v="401131"/>
    <x v="36"/>
    <s v="110100097246"/>
    <s v="10023250017374"/>
    <d v="2025-02-10T00:00:00"/>
    <d v="2025-02-24T00:00:00"/>
    <n v="4"/>
    <n v="31483.5"/>
    <x v="1"/>
    <s v=""/>
    <s v=""/>
    <n v="31483.5"/>
  </r>
  <r>
    <x v="2"/>
    <s v="401131"/>
    <x v="36"/>
    <s v="110100097247"/>
    <s v="10023250017375"/>
    <d v="2025-02-10T00:00:00"/>
    <d v="2025-02-24T00:00:00"/>
    <n v="4"/>
    <n v="27543.87"/>
    <x v="1"/>
    <s v=""/>
    <s v=""/>
    <n v="27543.87"/>
  </r>
  <r>
    <x v="2"/>
    <s v="401131"/>
    <x v="36"/>
    <s v="110100097248"/>
    <s v="10023250017376"/>
    <d v="2025-02-10T00:00:00"/>
    <d v="2025-02-24T00:00:00"/>
    <n v="4"/>
    <n v="19781.68"/>
    <x v="1"/>
    <s v=""/>
    <s v=""/>
    <n v="19781.68"/>
  </r>
  <r>
    <x v="2"/>
    <s v="401131"/>
    <x v="36"/>
    <s v="110100097249"/>
    <s v="10023250017377"/>
    <d v="2025-02-10T00:00:00"/>
    <d v="2025-02-24T00:00:00"/>
    <n v="4"/>
    <n v="22312.61"/>
    <x v="1"/>
    <s v=""/>
    <s v=""/>
    <n v="22312.61"/>
  </r>
  <r>
    <x v="2"/>
    <s v="401131"/>
    <x v="36"/>
    <s v="110100097250"/>
    <s v="10023250017378"/>
    <d v="2025-02-10T00:00:00"/>
    <d v="2025-02-24T00:00:00"/>
    <n v="4"/>
    <n v="12205.39"/>
    <x v="1"/>
    <s v=""/>
    <s v=""/>
    <n v="12205.39"/>
  </r>
  <r>
    <x v="2"/>
    <s v="401131"/>
    <x v="36"/>
    <s v="110100097251"/>
    <s v="10023250017379"/>
    <d v="2025-02-10T00:00:00"/>
    <d v="2025-02-24T00:00:00"/>
    <n v="4"/>
    <n v="19942.02"/>
    <x v="1"/>
    <s v=""/>
    <s v=""/>
    <n v="19942.02"/>
  </r>
  <r>
    <x v="2"/>
    <s v="401131"/>
    <x v="36"/>
    <s v="110300089735"/>
    <s v="10023250018384"/>
    <d v="2025-02-14T00:00:00"/>
    <d v="2025-02-28T00:00:00"/>
    <n v="0"/>
    <n v="4148.34"/>
    <x v="1"/>
    <s v="0111472047_001_001/E71851534/0026712034"/>
    <s v=""/>
    <s v=""/>
  </r>
  <r>
    <x v="2"/>
    <s v="401131"/>
    <x v="36"/>
    <s v="111000265729"/>
    <s v="10023250005256"/>
    <d v="2025-01-22T00:00:00"/>
    <d v="2025-02-21T00:00:00"/>
    <n v="7"/>
    <n v="105220.99"/>
    <x v="1"/>
    <s v="* Consulting to PO Number 36887 ; Order"/>
    <s v=""/>
    <n v="105220.99"/>
  </r>
  <r>
    <x v="2"/>
    <s v="401131"/>
    <x v="36"/>
    <s v="111000269239"/>
    <s v="10023250017176"/>
    <d v="2025-02-10T00:00:00"/>
    <d v="2025-03-12T00:00:00"/>
    <n v="-12"/>
    <n v="7913.5"/>
    <x v="1"/>
    <s v="* Consulting to PO Number ; Order 45064458"/>
    <s v=""/>
    <s v=""/>
  </r>
  <r>
    <x v="2"/>
    <s v="401131"/>
    <x v="36"/>
    <s v="111000270783"/>
    <s v="10023250019437"/>
    <d v="2025-02-21T00:00:00"/>
    <d v="2025-03-23T00:00:00"/>
    <n v="-23"/>
    <n v="70280.210000000006"/>
    <x v="1"/>
    <s v="* Consulting to PO Number ; Order"/>
    <s v=""/>
    <s v=""/>
  </r>
  <r>
    <x v="2"/>
    <s v="487331"/>
    <x v="37"/>
    <s v="8004057475"/>
    <s v=""/>
    <d v="2025-01-20T00:00:00"/>
    <d v="2025-01-20T00:00:00"/>
    <n v="39"/>
    <n v="-4264.78"/>
    <x v="1"/>
    <s v=""/>
    <s v=""/>
    <n v="-4264.78"/>
  </r>
  <r>
    <x v="2"/>
    <s v="487331"/>
    <x v="37"/>
    <s v="110200090220"/>
    <s v="10023250019890"/>
    <d v="2025-02-21T00:00:00"/>
    <d v="2025-03-07T00:00:00"/>
    <n v="-7"/>
    <n v="1058969.3500000001"/>
    <x v="1"/>
    <s v=""/>
    <s v=""/>
    <s v=""/>
  </r>
  <r>
    <x v="2"/>
    <s v="487331"/>
    <x v="37"/>
    <s v="111000271258"/>
    <s v="20023250000556"/>
    <d v="2025-02-26T00:00:00"/>
    <d v="2025-02-26T00:00:00"/>
    <n v="2"/>
    <n v="-967885.61"/>
    <x v="1"/>
    <s v=""/>
    <s v=""/>
    <n v="-967885.61"/>
  </r>
  <r>
    <x v="2"/>
    <s v="492922"/>
    <x v="36"/>
    <s v="110800109365"/>
    <s v="10023250007535"/>
    <d v="2025-01-23T00:00:00"/>
    <d v="2025-02-06T00:00:00"/>
    <n v="22"/>
    <n v="3396.86"/>
    <x v="1"/>
    <s v=""/>
    <s v=""/>
    <n v="3396.86"/>
  </r>
  <r>
    <x v="2"/>
    <s v="492922"/>
    <x v="36"/>
    <s v="110800109366"/>
    <s v="10023250007536"/>
    <d v="2025-01-23T00:00:00"/>
    <d v="2025-02-06T00:00:00"/>
    <n v="22"/>
    <n v="8492.14"/>
    <x v="1"/>
    <s v=""/>
    <s v=""/>
    <n v="8492.14"/>
  </r>
  <r>
    <x v="2"/>
    <s v="529689"/>
    <x v="38"/>
    <s v="111000270608"/>
    <s v="10023250019248"/>
    <d v="2025-02-20T00:00:00"/>
    <d v="2025-03-22T00:00:00"/>
    <n v="-22"/>
    <n v="19504.099999999999"/>
    <x v="1"/>
    <s v=""/>
    <s v=""/>
    <s v=""/>
  </r>
  <r>
    <x v="2"/>
    <s v="658609"/>
    <x v="39"/>
    <s v="110000113178"/>
    <s v="10023250018796"/>
    <d v="2025-02-17T00:00:00"/>
    <d v="2025-03-19T00:00:00"/>
    <n v="-19"/>
    <n v="3226.0299999999997"/>
    <x v="1"/>
    <s v=""/>
    <s v=""/>
    <s v=""/>
  </r>
  <r>
    <x v="2"/>
    <s v="658609"/>
    <x v="39"/>
    <s v="110100094352"/>
    <s v="10023250005325"/>
    <d v="2025-01-22T00:00:00"/>
    <d v="2025-02-21T00:00:00"/>
    <n v="7"/>
    <n v="536.04"/>
    <x v="1"/>
    <s v="P2P erhalten 20.02.2025 Zahlung am 03.03.2025"/>
    <s v=""/>
    <n v="536.04"/>
  </r>
  <r>
    <x v="2"/>
    <s v="658609"/>
    <x v="39"/>
    <s v="110100094560"/>
    <s v="10023250005356"/>
    <d v="2025-01-23T00:00:00"/>
    <d v="2025-02-06T00:00:00"/>
    <n v="22"/>
    <n v="391.76"/>
    <x v="1"/>
    <s v="P2P erhalten 20.02.2025 Zahlung am 03.03.2025"/>
    <s v=""/>
    <n v="391.76"/>
  </r>
  <r>
    <x v="2"/>
    <s v="658609"/>
    <x v="39"/>
    <s v="110100096646"/>
    <s v="10023250017065"/>
    <d v="2025-02-10T00:00:00"/>
    <d v="2025-03-12T00:00:00"/>
    <n v="-12"/>
    <n v="1266.46"/>
    <x v="1"/>
    <s v=""/>
    <s v=""/>
    <s v=""/>
  </r>
  <r>
    <x v="2"/>
    <s v="658609"/>
    <x v="39"/>
    <s v="110100099599"/>
    <s v="10023250018866"/>
    <d v="2025-02-17T00:00:00"/>
    <d v="2025-03-19T00:00:00"/>
    <n v="-19"/>
    <n v="645.99"/>
    <x v="1"/>
    <s v=""/>
    <s v=""/>
    <s v=""/>
  </r>
  <r>
    <x v="2"/>
    <s v="658609"/>
    <x v="39"/>
    <s v="110100099600"/>
    <s v="10023250018867"/>
    <d v="2025-02-17T00:00:00"/>
    <d v="2025-03-19T00:00:00"/>
    <n v="-19"/>
    <n v="109.96000000000001"/>
    <x v="1"/>
    <s v=""/>
    <s v=""/>
    <s v=""/>
  </r>
  <r>
    <x v="2"/>
    <s v="658609"/>
    <x v="39"/>
    <s v="110100099601"/>
    <s v="10023250018868"/>
    <d v="2025-02-17T00:00:00"/>
    <d v="2025-03-19T00:00:00"/>
    <n v="-19"/>
    <n v="157.07999999999998"/>
    <x v="1"/>
    <s v=""/>
    <s v=""/>
    <s v=""/>
  </r>
  <r>
    <x v="2"/>
    <s v="658609"/>
    <x v="39"/>
    <s v="110200084603"/>
    <s v="10023250010022"/>
    <d v="2025-01-27T00:00:00"/>
    <d v="2025-02-26T00:00:00"/>
    <n v="2"/>
    <n v="357.36"/>
    <x v="1"/>
    <s v="P2P erhalten 20.02.2025 Zahlung am 03.03.2025"/>
    <s v=""/>
    <n v="357.36"/>
  </r>
  <r>
    <x v="2"/>
    <s v="658609"/>
    <x v="39"/>
    <s v="110200084604"/>
    <s v="10023250010023"/>
    <d v="2025-01-27T00:00:00"/>
    <d v="2025-02-26T00:00:00"/>
    <n v="2"/>
    <n v="149.23000000000002"/>
    <x v="1"/>
    <s v="P2P erhalten 20.02.2025 Zahlung am 03.03.2025"/>
    <s v=""/>
    <n v="149.23000000000002"/>
  </r>
  <r>
    <x v="2"/>
    <s v="658609"/>
    <x v="39"/>
    <s v="110200084605"/>
    <s v="10023250010024"/>
    <d v="2025-01-27T00:00:00"/>
    <d v="2025-02-26T00:00:00"/>
    <n v="2"/>
    <n v="178.68"/>
    <x v="1"/>
    <s v="P2P erhalten 20.02.2025 Zahlung am 03.03.2025"/>
    <s v=""/>
    <n v="178.68"/>
  </r>
  <r>
    <x v="2"/>
    <s v="658609"/>
    <x v="39"/>
    <s v="110200087721"/>
    <s v="10023250012221"/>
    <d v="2025-01-31T00:00:00"/>
    <d v="2025-03-02T00:00:00"/>
    <n v="-2"/>
    <n v="3402.75"/>
    <x v="1"/>
    <s v="P2P erhalten 20.02.2025 Zahlung am 03.03.2025"/>
    <s v=""/>
    <s v=""/>
  </r>
  <r>
    <x v="2"/>
    <s v="658609"/>
    <x v="39"/>
    <s v="110200089914"/>
    <s v="10023250019584"/>
    <d v="2025-02-21T00:00:00"/>
    <d v="2025-03-23T00:00:00"/>
    <n v="-23"/>
    <n v="1474.59"/>
    <x v="1"/>
    <s v=""/>
    <s v=""/>
    <s v=""/>
  </r>
  <r>
    <x v="2"/>
    <s v="658609"/>
    <x v="39"/>
    <s v="110200089915"/>
    <s v="10023250019585"/>
    <d v="2025-02-21T00:00:00"/>
    <d v="2025-03-23T00:00:00"/>
    <n v="-23"/>
    <n v="184.57"/>
    <x v="1"/>
    <s v=""/>
    <s v=""/>
    <s v=""/>
  </r>
  <r>
    <x v="2"/>
    <s v="658609"/>
    <x v="39"/>
    <s v="110200089916"/>
    <s v="10023250019586"/>
    <d v="2025-02-21T00:00:00"/>
    <d v="2025-03-23T00:00:00"/>
    <n v="-23"/>
    <n v="62.83"/>
    <x v="1"/>
    <s v=""/>
    <s v=""/>
    <s v=""/>
  </r>
  <r>
    <x v="2"/>
    <s v="658609"/>
    <x v="39"/>
    <s v="110400097528"/>
    <s v="10023250009552"/>
    <d v="2025-01-27T00:00:00"/>
    <d v="2025-02-26T00:00:00"/>
    <n v="2"/>
    <n v="66.52000000000001"/>
    <x v="1"/>
    <s v="P2P erhalten 20.02.2025 Zahlung am 03.03.2025"/>
    <s v=""/>
    <n v="66.52000000000001"/>
  </r>
  <r>
    <x v="2"/>
    <s v="658609"/>
    <x v="39"/>
    <s v="110700098375"/>
    <s v="10023250008229"/>
    <d v="2025-01-24T00:00:00"/>
    <d v="2025-02-23T00:00:00"/>
    <n v="5"/>
    <n v="149.23000000000002"/>
    <x v="1"/>
    <s v="P2P erhalten 20.02.2025 Zahlung am 03.03.2025"/>
    <s v=""/>
    <n v="149.23000000000002"/>
  </r>
  <r>
    <x v="2"/>
    <s v="658609"/>
    <x v="39"/>
    <s v="110700102647"/>
    <s v="10023250013664"/>
    <d v="2025-02-05T00:00:00"/>
    <d v="2025-03-07T00:00:00"/>
    <n v="-7"/>
    <n v="76.58"/>
    <x v="1"/>
    <s v=""/>
    <s v=""/>
    <s v=""/>
  </r>
  <r>
    <x v="2"/>
    <s v="658609"/>
    <x v="39"/>
    <s v="110700102648"/>
    <s v="10023250013665"/>
    <d v="2025-02-05T00:00:00"/>
    <d v="2025-02-19T00:00:00"/>
    <n v="9"/>
    <n v="270.95999999999998"/>
    <x v="1"/>
    <s v=""/>
    <s v=""/>
    <n v="270.95999999999998"/>
  </r>
  <r>
    <x v="2"/>
    <s v="658609"/>
    <x v="39"/>
    <s v="110800107756"/>
    <s v="10023250005926"/>
    <d v="2025-01-23T00:00:00"/>
    <d v="2025-02-22T00:00:00"/>
    <n v="6"/>
    <n v="74.61"/>
    <x v="1"/>
    <s v="P2P erhalten 20.02.2025 Zahlung am 03.03.2025"/>
    <s v=""/>
    <n v="74.61"/>
  </r>
  <r>
    <x v="2"/>
    <s v="658609"/>
    <x v="39"/>
    <s v="110800107757"/>
    <s v="10023250005927"/>
    <d v="2025-01-23T00:00:00"/>
    <d v="2025-02-22T00:00:00"/>
    <n v="6"/>
    <n v="98.179999999999993"/>
    <x v="1"/>
    <s v="P2P erhalten 20.02.2025 Zahlung am 03.03.2025"/>
    <s v=""/>
    <n v="98.179999999999993"/>
  </r>
  <r>
    <x v="2"/>
    <s v="658609"/>
    <x v="39"/>
    <s v="110800107758"/>
    <s v="10023250005928"/>
    <d v="2025-01-23T00:00:00"/>
    <d v="2025-02-22T00:00:00"/>
    <n v="6"/>
    <n v="1286.0900000000001"/>
    <x v="1"/>
    <s v="P2P erhalten 20.02.2025 Zahlung am 03.03.2025"/>
    <s v=""/>
    <n v="1286.0900000000001"/>
  </r>
  <r>
    <x v="2"/>
    <s v="658609"/>
    <x v="39"/>
    <s v="110800107759"/>
    <s v="10023250005929"/>
    <d v="2025-01-23T00:00:00"/>
    <d v="2025-02-22T00:00:00"/>
    <n v="6"/>
    <n v="357.36"/>
    <x v="1"/>
    <s v="P2P erhalten 20.02.2025 Zahlung am 03.03.2025"/>
    <s v=""/>
    <n v="357.36"/>
  </r>
  <r>
    <x v="2"/>
    <s v="658609"/>
    <x v="39"/>
    <s v="110800107760"/>
    <s v="10023250005930"/>
    <d v="2025-01-23T00:00:00"/>
    <d v="2025-02-22T00:00:00"/>
    <n v="6"/>
    <n v="178.68"/>
    <x v="1"/>
    <s v="P2P erhalten 20.02.2025 Zahlung am 03.03.2025"/>
    <s v=""/>
    <n v="178.68"/>
  </r>
  <r>
    <x v="2"/>
    <s v="658609"/>
    <x v="39"/>
    <s v="110800110495"/>
    <s v="10023250012222"/>
    <d v="2025-01-31T00:00:00"/>
    <d v="2025-03-02T00:00:00"/>
    <n v="-2"/>
    <n v="4082.12"/>
    <x v="1"/>
    <s v="P2P erhalten 20.02.2025 Zahlung am 03.03.2025"/>
    <s v=""/>
    <s v=""/>
  </r>
  <r>
    <x v="2"/>
    <s v="658609"/>
    <x v="39"/>
    <s v="110800114146"/>
    <s v="10023250017161"/>
    <d v="2025-02-10T00:00:00"/>
    <d v="2025-03-12T00:00:00"/>
    <n v="-12"/>
    <n v="223.83999999999997"/>
    <x v="1"/>
    <s v=""/>
    <s v=""/>
    <s v=""/>
  </r>
  <r>
    <x v="2"/>
    <s v="658609"/>
    <x v="39"/>
    <s v="110900083089"/>
    <s v="10023250012310"/>
    <d v="2025-01-31T00:00:00"/>
    <d v="2025-03-02T00:00:00"/>
    <n v="-2"/>
    <n v="465.35"/>
    <x v="1"/>
    <s v="P2P erhalten 20.02.2025 Zahlung am 03.03.2025"/>
    <s v=""/>
    <s v=""/>
  </r>
  <r>
    <x v="2"/>
    <s v="658609"/>
    <x v="39"/>
    <s v="110900083090"/>
    <s v="10023250012311"/>
    <d v="2025-01-31T00:00:00"/>
    <d v="2025-03-02T00:00:00"/>
    <n v="-2"/>
    <n v="1429.4299999999998"/>
    <x v="1"/>
    <s v="P2P erhalten 20.02.2025 Zahlung am 03.03.2025"/>
    <s v=""/>
    <s v=""/>
  </r>
  <r>
    <x v="2"/>
    <s v="658609"/>
    <x v="39"/>
    <s v="110900083091"/>
    <s v="10023250012312"/>
    <d v="2025-01-31T00:00:00"/>
    <d v="2025-03-02T00:00:00"/>
    <n v="-2"/>
    <n v="2322.8200000000002"/>
    <x v="1"/>
    <s v="P2P erhalten 20.02.2025 Zahlung am 03.03.2025"/>
    <s v=""/>
    <s v=""/>
  </r>
  <r>
    <x v="2"/>
    <s v="658609"/>
    <x v="39"/>
    <s v="110900083092"/>
    <s v="10023250012313"/>
    <d v="2025-01-31T00:00:00"/>
    <d v="2025-03-02T00:00:00"/>
    <n v="-2"/>
    <n v="72.91"/>
    <x v="1"/>
    <s v="P2P erhalten 20.02.2025 Zahlung am 03.03.2025"/>
    <s v=""/>
    <s v=""/>
  </r>
  <r>
    <x v="2"/>
    <s v="658609"/>
    <x v="39"/>
    <s v="111000266173"/>
    <s v="10023250008172"/>
    <d v="2025-01-24T00:00:00"/>
    <d v="2025-02-23T00:00:00"/>
    <n v="5"/>
    <n v="1124.55"/>
    <x v="1"/>
    <s v="P2P erhalten 20.02.2025 Zahlung am 03.03.2025"/>
    <s v=""/>
    <n v="1124.55"/>
  </r>
  <r>
    <x v="2"/>
    <s v="658609"/>
    <x v="39"/>
    <s v="111000266364"/>
    <s v="10023250009600"/>
    <d v="2025-01-27T00:00:00"/>
    <d v="2025-02-26T00:00:00"/>
    <n v="2"/>
    <n v="5971.9"/>
    <x v="1"/>
    <s v="P2P erhalten 20.02.2025 Zahlung am 03.03.2025"/>
    <s v=""/>
    <n v="5971.9"/>
  </r>
  <r>
    <x v="2"/>
    <s v="658609"/>
    <x v="39"/>
    <s v="111000266365"/>
    <s v="10023250009601"/>
    <d v="2025-01-27T00:00:00"/>
    <d v="2025-02-26T00:00:00"/>
    <n v="2"/>
    <n v="5210.03"/>
    <x v="1"/>
    <s v="P2P erhalten 20.02.2025 Zahlung am 03.03.2025"/>
    <s v=""/>
    <n v="5210.03"/>
  </r>
  <r>
    <x v="2"/>
    <s v="658609"/>
    <x v="39"/>
    <s v="111000269173"/>
    <s v="10023250017116"/>
    <d v="2025-02-10T00:00:00"/>
    <d v="2025-03-12T00:00:00"/>
    <n v="-12"/>
    <n v="5301.45"/>
    <x v="1"/>
    <s v=""/>
    <s v=""/>
    <s v=""/>
  </r>
  <r>
    <x v="2"/>
    <s v="658609"/>
    <x v="39"/>
    <s v="111000269176"/>
    <s v="10023250017119"/>
    <d v="2025-02-10T00:00:00"/>
    <d v="2025-03-12T00:00:00"/>
    <n v="-12"/>
    <n v="1975.4"/>
    <x v="1"/>
    <s v=""/>
    <s v=""/>
    <s v=""/>
  </r>
  <r>
    <x v="2"/>
    <s v="658609"/>
    <x v="39"/>
    <s v="111000269905"/>
    <s v="10023250018041"/>
    <d v="2025-02-14T00:00:00"/>
    <d v="2025-03-16T00:00:00"/>
    <n v="-16"/>
    <n v="981.75"/>
    <x v="1"/>
    <s v=""/>
    <s v=""/>
    <s v=""/>
  </r>
  <r>
    <x v="2"/>
    <s v="658609"/>
    <x v="39"/>
    <s v="111000269909"/>
    <s v="10023250018045"/>
    <d v="2025-02-14T00:00:00"/>
    <d v="2025-03-16T00:00:00"/>
    <n v="-16"/>
    <n v="16964.64"/>
    <x v="1"/>
    <s v=""/>
    <s v=""/>
    <s v=""/>
  </r>
  <r>
    <x v="2"/>
    <s v="658609"/>
    <x v="39"/>
    <s v="111000269932"/>
    <s v="10023250018049"/>
    <d v="2025-02-14T00:00:00"/>
    <d v="2025-03-16T00:00:00"/>
    <n v="-16"/>
    <n v="208.25"/>
    <x v="1"/>
    <s v=""/>
    <s v=""/>
    <s v=""/>
  </r>
  <r>
    <x v="2"/>
    <s v="658609"/>
    <x v="39"/>
    <s v="111000270956"/>
    <s v="10023250019959"/>
    <d v="2025-02-24T00:00:00"/>
    <d v="2025-03-26T00:00:00"/>
    <n v="-26"/>
    <n v="1975.4"/>
    <x v="1"/>
    <s v=""/>
    <s v=""/>
    <s v=""/>
  </r>
  <r>
    <x v="2"/>
    <s v="658609"/>
    <x v="39"/>
    <s v="111000270959"/>
    <s v="10023250019962"/>
    <d v="2025-02-24T00:00:00"/>
    <d v="2025-03-26T00:00:00"/>
    <n v="-26"/>
    <n v="3534.3"/>
    <x v="1"/>
    <s v=""/>
    <s v=""/>
    <s v=""/>
  </r>
  <r>
    <x v="2"/>
    <s v="658609"/>
    <x v="39"/>
    <s v="111000271005"/>
    <s v="10023250019968"/>
    <d v="2025-02-24T00:00:00"/>
    <d v="2025-03-26T00:00:00"/>
    <n v="-26"/>
    <n v="1767.15"/>
    <x v="1"/>
    <s v=""/>
    <s v=""/>
    <s v=""/>
  </r>
  <r>
    <x v="2"/>
    <s v="658609"/>
    <x v="39"/>
    <s v="111000271253"/>
    <s v="10023250020223"/>
    <d v="2025-02-26T00:00:00"/>
    <d v="2025-03-28T00:00:00"/>
    <n v="-28"/>
    <n v="3819.02"/>
    <x v="1"/>
    <s v=""/>
    <s v=""/>
    <s v=""/>
  </r>
  <r>
    <x v="2"/>
    <s v="658609"/>
    <x v="39"/>
    <s v="111000271254"/>
    <s v="10023250020224"/>
    <d v="2025-02-26T00:00:00"/>
    <d v="2025-03-28T00:00:00"/>
    <n v="-28"/>
    <n v="7627.92"/>
    <x v="1"/>
    <s v=""/>
    <s v=""/>
    <s v=""/>
  </r>
  <r>
    <x v="2"/>
    <s v="789017"/>
    <x v="22"/>
    <s v="111000268684"/>
    <s v="20023250000304"/>
    <d v="2025-02-05T00:00:00"/>
    <d v="2025-02-05T00:00:00"/>
    <n v="23"/>
    <n v="-71535.03"/>
    <x v="1"/>
    <s v=""/>
    <s v=""/>
    <n v="-71535.03"/>
  </r>
  <r>
    <x v="2"/>
    <s v="898572"/>
    <x v="40"/>
    <s v="110000112966"/>
    <s v="10023250018615"/>
    <d v="2025-02-15T00:00:00"/>
    <d v="2025-03-17T00:00:00"/>
    <n v="-17"/>
    <n v="117325.53"/>
    <x v="1"/>
    <s v=""/>
    <s v=""/>
    <s v=""/>
  </r>
  <r>
    <x v="2"/>
    <s v="960293"/>
    <x v="41"/>
    <s v="110100099657"/>
    <s v="10023250018924"/>
    <d v="2025-02-17T00:00:00"/>
    <d v="2025-03-03T00:00:00"/>
    <n v="-3"/>
    <n v="71961.72"/>
    <x v="1"/>
    <s v=""/>
    <s v=""/>
    <s v=""/>
  </r>
  <r>
    <x v="2"/>
    <s v="960293"/>
    <x v="41"/>
    <s v="110200090213"/>
    <s v="10023250019883"/>
    <d v="2025-02-21T00:00:00"/>
    <d v="2025-03-07T00:00:00"/>
    <n v="-7"/>
    <n v="106814.39999999999"/>
    <x v="1"/>
    <s v=""/>
    <s v=""/>
    <s v=""/>
  </r>
  <r>
    <x v="2"/>
    <s v="960293"/>
    <x v="41"/>
    <s v="110700103243"/>
    <s v="10023250014260"/>
    <d v="2025-02-05T00:00:00"/>
    <d v="2025-02-19T00:00:00"/>
    <n v="9"/>
    <n v="238000"/>
    <x v="1"/>
    <s v=""/>
    <s v=""/>
    <n v="238000"/>
  </r>
  <r>
    <x v="2"/>
    <s v="960293"/>
    <x v="41"/>
    <s v="110700103244"/>
    <s v="10023250014261"/>
    <d v="2025-02-05T00:00:00"/>
    <d v="2025-02-19T00:00:00"/>
    <n v="9"/>
    <n v="2197040.64"/>
    <x v="1"/>
    <s v=""/>
    <s v=""/>
    <n v="2197040.64"/>
  </r>
  <r>
    <x v="2"/>
    <s v="960293"/>
    <x v="41"/>
    <s v="110900092188"/>
    <s v="10023250020565"/>
    <d v="2025-02-27T00:00:00"/>
    <d v="2025-03-29T00:00:00"/>
    <n v="-29"/>
    <n v="1999.2"/>
    <x v="1"/>
    <s v="0111524724_001_001/E71852882/0026707558"/>
    <s v=""/>
    <s v=""/>
  </r>
  <r>
    <x v="2"/>
    <s v="960293"/>
    <x v="41"/>
    <s v="111000267372"/>
    <s v="10023250012640"/>
    <d v="2025-01-31T00:00:00"/>
    <d v="2025-03-05T00:00:00"/>
    <n v="-5"/>
    <n v="6426"/>
    <x v="1"/>
    <s v="* Consulting to PO Number ; Order 45063699"/>
    <s v=""/>
    <s v=""/>
  </r>
  <r>
    <x v="2"/>
    <s v="960293"/>
    <x v="41"/>
    <s v="111000268074"/>
    <s v="10023250013103"/>
    <d v="2025-01-31T00:00:00"/>
    <d v="2025-03-06T00:00:00"/>
    <n v="-6"/>
    <n v="1445.85"/>
    <x v="1"/>
    <s v="* Consulting to PO Number ; Order 45063699"/>
    <s v=""/>
    <s v=""/>
  </r>
  <r>
    <x v="2"/>
    <s v="1227311"/>
    <x v="42"/>
    <s v="8001050175"/>
    <s v=""/>
    <d v="2024-10-31T00:00:00"/>
    <d v="2024-10-31T00:00:00"/>
    <n v="120"/>
    <n v="-21500.42"/>
    <x v="1"/>
    <s v=""/>
    <s v=""/>
    <n v="-21500.42"/>
  </r>
  <r>
    <x v="2"/>
    <s v="1227311"/>
    <x v="42"/>
    <s v="8002049457"/>
    <s v=""/>
    <d v="2025-01-30T00:00:00"/>
    <d v="2025-01-30T00:00:00"/>
    <n v="29"/>
    <n v="-109960.67"/>
    <x v="1"/>
    <s v=""/>
    <s v=""/>
    <n v="-109960.67"/>
  </r>
  <r>
    <x v="2"/>
    <s v="1227311"/>
    <x v="42"/>
    <s v="8003050774"/>
    <s v=""/>
    <d v="2024-11-14T00:00:00"/>
    <d v="2024-11-14T00:00:00"/>
    <n v="106"/>
    <n v="-14346.64"/>
    <x v="1"/>
    <s v=""/>
    <s v=""/>
    <n v="-14346.64"/>
  </r>
  <r>
    <x v="2"/>
    <s v="1227311"/>
    <x v="42"/>
    <s v="8005052172"/>
    <s v=""/>
    <d v="2025-02-06T00:00:00"/>
    <d v="2025-02-06T00:00:00"/>
    <n v="22"/>
    <n v="-8371.89"/>
    <x v="1"/>
    <s v=""/>
    <s v=""/>
    <n v="-8371.89"/>
  </r>
  <r>
    <x v="2"/>
    <s v="1227311"/>
    <x v="42"/>
    <s v="110200061339"/>
    <s v="10023240065519"/>
    <d v="2024-06-15T00:00:00"/>
    <d v="2024-07-15T00:00:00"/>
    <n v="228"/>
    <n v="14346.64"/>
    <x v="1"/>
    <s v="22/8 disp, Ubernutzung mit O2I klären"/>
    <s v=""/>
    <n v="14346.64"/>
  </r>
  <r>
    <x v="2"/>
    <s v="1227311"/>
    <x v="42"/>
    <s v="110400093559"/>
    <s v="10023240132610"/>
    <d v="2024-11-27T00:00:00"/>
    <d v="2024-12-11T00:00:00"/>
    <n v="79"/>
    <n v="1779.29"/>
    <x v="1"/>
    <s v="0111406440_001_001/E71771718/0024516438"/>
    <s v=""/>
    <n v="1779.29"/>
  </r>
  <r>
    <x v="2"/>
    <s v="1227311"/>
    <x v="42"/>
    <s v="110500089952"/>
    <s v="10023240141642"/>
    <d v="2024-12-31T00:00:00"/>
    <d v="2025-01-30T00:00:00"/>
    <n v="29"/>
    <n v="86584.58"/>
    <x v="1"/>
    <s v=""/>
    <s v=""/>
    <n v="86584.58"/>
  </r>
  <r>
    <x v="2"/>
    <s v="1227311"/>
    <x v="42"/>
    <s v="110800111805"/>
    <s v="10023250014984"/>
    <d v="2025-02-07T00:00:00"/>
    <d v="2025-02-21T00:00:00"/>
    <n v="7"/>
    <n v="3667.26"/>
    <x v="1"/>
    <s v=""/>
    <s v=""/>
    <n v="3667.26"/>
  </r>
  <r>
    <x v="2"/>
    <s v="1227311"/>
    <x v="42"/>
    <s v="110800111806"/>
    <s v="10023250014985"/>
    <d v="2025-02-07T00:00:00"/>
    <d v="2025-03-09T00:00:00"/>
    <n v="-9"/>
    <n v="120200.56"/>
    <x v="1"/>
    <s v=""/>
    <s v=""/>
    <s v=""/>
  </r>
  <r>
    <x v="2"/>
    <s v="1227311"/>
    <x v="42"/>
    <s v="111000238225"/>
    <s v="10023240097174"/>
    <d v="2024-08-31T00:00:00"/>
    <d v="2024-10-03T00:00:00"/>
    <n v="148"/>
    <n v="6804.57"/>
    <x v="1"/>
    <s v="P2P erhalten 19112024 Zahlung am 28112024"/>
    <s v=""/>
    <n v="6804.57"/>
  </r>
  <r>
    <x v="2"/>
    <s v="1227311"/>
    <x v="42"/>
    <s v="111000242341"/>
    <s v="10023240102263"/>
    <d v="2024-09-28T00:00:00"/>
    <d v="2024-10-12T00:00:00"/>
    <n v="139"/>
    <n v="1872.11"/>
    <x v="1"/>
    <s v="P2P erhalten 19112024 Zahlung am 28112024"/>
    <s v=""/>
    <n v="1872.11"/>
  </r>
  <r>
    <x v="2"/>
    <s v="1227311"/>
    <x v="42"/>
    <s v="111000244449"/>
    <s v="10023240104794"/>
    <d v="2024-09-30T00:00:00"/>
    <d v="2024-11-01T00:00:00"/>
    <n v="119"/>
    <n v="12823.74"/>
    <x v="1"/>
    <s v="P2P erhalten 19112024 Zahlung am 28112024"/>
    <s v=""/>
    <n v="12823.74"/>
  </r>
  <r>
    <x v="2"/>
    <s v="1227311"/>
    <x v="42"/>
    <s v="111000262651"/>
    <s v="10023240142883"/>
    <d v="2024-12-31T00:00:00"/>
    <d v="2025-02-02T00:00:00"/>
    <n v="26"/>
    <n v="4706.45"/>
    <x v="1"/>
    <s v="* Consulting to PO Number Z22/4501317211 ; Order"/>
    <s v=""/>
    <n v="4706.45"/>
  </r>
  <r>
    <x v="2"/>
    <s v="1227311"/>
    <x v="42"/>
    <s v="111000262652"/>
    <s v="10023240142937"/>
    <d v="2024-12-31T00:00:00"/>
    <d v="2025-02-02T00:00:00"/>
    <n v="26"/>
    <n v="7395.85"/>
    <x v="1"/>
    <s v="* Consulting to PO Number Z22/4501317211 ; Order"/>
    <s v=""/>
    <n v="7395.85"/>
  </r>
  <r>
    <x v="2"/>
    <s v="1227311"/>
    <x v="42"/>
    <s v="111000262653"/>
    <s v="10023240142975"/>
    <d v="2024-12-31T00:00:00"/>
    <d v="2025-02-02T00:00:00"/>
    <n v="26"/>
    <n v="6592.6"/>
    <x v="1"/>
    <s v="* Consulting to PO Number ; Order"/>
    <s v=""/>
    <n v="6592.6"/>
  </r>
  <r>
    <x v="2"/>
    <s v="1227311"/>
    <x v="42"/>
    <s v="111000262655"/>
    <s v="10023240142979"/>
    <d v="2024-12-31T00:00:00"/>
    <d v="2025-02-02T00:00:00"/>
    <n v="26"/>
    <n v="852.35"/>
    <x v="1"/>
    <s v="* Consulting to PO Number Z12/4501279380 ; Order 4"/>
    <s v=""/>
    <n v="852.35"/>
  </r>
  <r>
    <x v="2"/>
    <s v="1227311"/>
    <x v="42"/>
    <s v="111000262656"/>
    <s v="10023240142981"/>
    <d v="2024-12-31T00:00:00"/>
    <d v="2025-02-02T00:00:00"/>
    <n v="26"/>
    <n v="994.4"/>
    <x v="1"/>
    <s v="* Consulting to PO Number Z12/4501279380 ; Order 4"/>
    <s v=""/>
    <n v="994.4"/>
  </r>
  <r>
    <x v="2"/>
    <s v="1227311"/>
    <x v="42"/>
    <s v="111000262658"/>
    <s v="10023240142988"/>
    <d v="2024-12-31T00:00:00"/>
    <d v="2025-02-02T00:00:00"/>
    <n v="26"/>
    <n v="9427.0400000000009"/>
    <x v="1"/>
    <s v="* Consulting to PO Number Z12/4501296832 ; Order"/>
    <s v=""/>
    <n v="9427.0400000000009"/>
  </r>
  <r>
    <x v="2"/>
    <s v="1380699"/>
    <x v="43"/>
    <s v="8000048506"/>
    <s v=""/>
    <d v="2024-10-29T00:00:00"/>
    <d v="2024-10-29T00:00:00"/>
    <n v="122"/>
    <n v="-1504962.3"/>
    <x v="1"/>
    <s v=""/>
    <s v=""/>
    <n v="-1504962.3"/>
  </r>
  <r>
    <x v="2"/>
    <s v="1804145"/>
    <x v="44"/>
    <s v="110500095834"/>
    <s v="10023250019075"/>
    <d v="2025-02-18T00:00:00"/>
    <d v="2025-03-04T00:00:00"/>
    <n v="-4"/>
    <n v="6488.7"/>
    <x v="1"/>
    <s v=""/>
    <s v=""/>
    <s v=""/>
  </r>
  <r>
    <x v="2"/>
    <s v="1804145"/>
    <x v="44"/>
    <s v="110500095835"/>
    <s v="10023250019076"/>
    <d v="2025-02-18T00:00:00"/>
    <d v="2025-03-04T00:00:00"/>
    <n v="-4"/>
    <n v="5712"/>
    <x v="1"/>
    <s v=""/>
    <s v=""/>
    <s v=""/>
  </r>
  <r>
    <x v="2"/>
    <s v="1804145"/>
    <x v="44"/>
    <s v="110800108018"/>
    <s v="10023250006188"/>
    <d v="2025-01-23T00:00:00"/>
    <d v="2025-02-22T00:00:00"/>
    <n v="6"/>
    <n v="276675.01"/>
    <x v="1"/>
    <s v=""/>
    <s v=""/>
    <n v="276675.01"/>
  </r>
  <r>
    <x v="2"/>
    <s v="1804145"/>
    <x v="44"/>
    <s v="110800108019"/>
    <s v="10023250006189"/>
    <d v="2025-01-23T00:00:00"/>
    <d v="2025-02-06T00:00:00"/>
    <n v="22"/>
    <n v="1963.17"/>
    <x v="1"/>
    <s v=""/>
    <s v=""/>
    <n v="1963.17"/>
  </r>
  <r>
    <x v="2"/>
    <s v="1804145"/>
    <x v="44"/>
    <s v="111000267503"/>
    <s v="10023250012754"/>
    <d v="2025-01-31T00:00:00"/>
    <d v="2025-03-05T00:00:00"/>
    <n v="-5"/>
    <n v="49147"/>
    <x v="1"/>
    <s v="* Consulting to PO Number 2612515217 / 08.Feb.2024"/>
    <s v=""/>
    <s v=""/>
  </r>
  <r>
    <x v="2"/>
    <s v="1809819"/>
    <x v="29"/>
    <s v="110100090713"/>
    <s v="10023250001311"/>
    <d v="2025-01-05T00:00:00"/>
    <d v="2025-02-04T00:00:00"/>
    <n v="24"/>
    <n v="4700.5"/>
    <x v="1"/>
    <s v=""/>
    <s v=""/>
    <n v="4700.5"/>
  </r>
  <r>
    <x v="2"/>
    <s v="1809819"/>
    <x v="29"/>
    <s v="110400076576"/>
    <s v="20023240001812"/>
    <d v="2024-06-24T00:00:00"/>
    <d v="2024-07-24T00:00:00"/>
    <n v="219"/>
    <n v="-654.5"/>
    <x v="1"/>
    <s v="*Referenzkundenaktivität am 29.05.2024"/>
    <s v=""/>
    <n v="-654.5"/>
  </r>
  <r>
    <x v="2"/>
    <s v="1809819"/>
    <x v="29"/>
    <s v="110900072722"/>
    <s v="10023240120953"/>
    <d v="2024-10-30T00:00:00"/>
    <d v="2024-11-13T00:00:00"/>
    <n v="107"/>
    <n v="9996"/>
    <x v="1"/>
    <s v="0111408560_001_001/E71759556/0026541006"/>
    <s v=""/>
    <n v="9996"/>
  </r>
  <r>
    <x v="2"/>
    <s v="1809819"/>
    <x v="29"/>
    <s v="111000264676"/>
    <s v="10023250004254"/>
    <d v="2025-01-15T00:00:00"/>
    <d v="2025-01-29T00:00:00"/>
    <n v="30"/>
    <n v="32844"/>
    <x v="1"/>
    <s v="0111440952_001_001/E71865425/0026619750"/>
    <s v=""/>
    <n v="32844"/>
  </r>
  <r>
    <x v="2"/>
    <s v="2062403"/>
    <x v="45"/>
    <s v="110100082745"/>
    <s v="10023240132372"/>
    <d v="2024-11-26T00:00:00"/>
    <d v="2024-12-10T00:00:00"/>
    <n v="80"/>
    <n v="2998.8"/>
    <x v="1"/>
    <s v="0111443184_001_001/E71764267/0026626420"/>
    <s v=""/>
    <n v="2998.8"/>
  </r>
  <r>
    <x v="2"/>
    <s v="2062403"/>
    <x v="45"/>
    <s v="110100082746"/>
    <s v="10023240132373"/>
    <d v="2024-11-26T00:00:00"/>
    <d v="2024-12-10T00:00:00"/>
    <n v="80"/>
    <n v="2998.8"/>
    <x v="1"/>
    <s v="0111443185_001_001/E71764267/0026626430"/>
    <s v=""/>
    <n v="2998.8"/>
  </r>
  <r>
    <x v="2"/>
    <s v="2062403"/>
    <x v="45"/>
    <s v="110100097179"/>
    <s v="10023250017307"/>
    <d v="2025-02-10T00:00:00"/>
    <d v="2025-03-12T00:00:00"/>
    <n v="-12"/>
    <n v="964257"/>
    <x v="1"/>
    <s v=""/>
    <s v=""/>
    <s v=""/>
  </r>
  <r>
    <x v="2"/>
    <s v="2138549"/>
    <x v="46"/>
    <s v="110200089945"/>
    <s v="10023250019615"/>
    <d v="2025-02-21T00:00:00"/>
    <d v="2025-03-07T00:00:00"/>
    <n v="-7"/>
    <n v="14.84"/>
    <x v="1"/>
    <s v=""/>
    <s v=""/>
    <s v=""/>
  </r>
  <r>
    <x v="2"/>
    <s v="2460415"/>
    <x v="47"/>
    <s v="8004029513"/>
    <s v=""/>
    <d v="2023-11-02T00:00:00"/>
    <d v="2023-11-02T00:00:00"/>
    <n v="484"/>
    <n v="-86054.45"/>
    <x v="1"/>
    <s v=""/>
    <s v=""/>
    <n v="-86054.45"/>
  </r>
  <r>
    <x v="2"/>
    <s v="2460415"/>
    <x v="47"/>
    <s v="110200087231"/>
    <s v="10023250011912"/>
    <d v="2025-01-28T00:00:00"/>
    <d v="2025-02-27T00:00:00"/>
    <n v="1"/>
    <n v="3131.75"/>
    <x v="1"/>
    <s v=""/>
    <s v=""/>
    <n v="3131.75"/>
  </r>
  <r>
    <x v="2"/>
    <s v="2460415"/>
    <x v="47"/>
    <s v="110200090152"/>
    <s v="10023250019822"/>
    <d v="2025-02-21T00:00:00"/>
    <d v="2025-03-23T00:00:00"/>
    <n v="-23"/>
    <n v="3125.04"/>
    <x v="1"/>
    <s v=""/>
    <s v=""/>
    <s v=""/>
  </r>
  <r>
    <x v="2"/>
    <s v="2460415"/>
    <x v="47"/>
    <s v="110500088071"/>
    <s v="10023240138946"/>
    <d v="2024-12-16T00:00:00"/>
    <d v="2025-01-15T00:00:00"/>
    <n v="44"/>
    <n v="1818.68"/>
    <x v="1"/>
    <s v=""/>
    <s v=""/>
    <n v="1818.68"/>
  </r>
  <r>
    <x v="2"/>
    <s v="2460415"/>
    <x v="47"/>
    <s v="110700018647"/>
    <s v="10023220035469"/>
    <d v="2022-10-31T00:00:00"/>
    <d v="2022-12-03T00:00:00"/>
    <n v="818"/>
    <n v="2565.0700000000002"/>
    <x v="1"/>
    <s v="18.10.24 Ablehnung erneut verschickt."/>
    <s v=""/>
    <n v="2565.0700000000002"/>
  </r>
  <r>
    <x v="2"/>
    <s v="2460415"/>
    <x v="47"/>
    <s v="110800113063"/>
    <s v="10023250016242"/>
    <d v="2025-02-07T00:00:00"/>
    <d v="2025-03-09T00:00:00"/>
    <n v="-9"/>
    <n v="135044.07"/>
    <x v="1"/>
    <s v=""/>
    <s v=""/>
    <s v=""/>
  </r>
  <r>
    <x v="2"/>
    <s v="2460415"/>
    <x v="47"/>
    <s v="110800113064"/>
    <s v="10023250016243"/>
    <d v="2025-02-07T00:00:00"/>
    <d v="2025-03-09T00:00:00"/>
    <n v="-9"/>
    <n v="1381558.44"/>
    <x v="1"/>
    <s v=""/>
    <s v=""/>
    <s v=""/>
  </r>
  <r>
    <x v="2"/>
    <s v="2460415"/>
    <x v="47"/>
    <s v="110800113065"/>
    <s v="10023250016244"/>
    <d v="2025-02-07T00:00:00"/>
    <d v="2025-03-09T00:00:00"/>
    <n v="-9"/>
    <n v="721.71"/>
    <x v="1"/>
    <s v=""/>
    <s v=""/>
    <s v=""/>
  </r>
  <r>
    <x v="2"/>
    <s v="2460415"/>
    <x v="47"/>
    <s v="110800113066"/>
    <s v="10023250016245"/>
    <d v="2025-02-07T00:00:00"/>
    <d v="2025-03-09T00:00:00"/>
    <n v="-9"/>
    <n v="14272.11"/>
    <x v="1"/>
    <s v=""/>
    <s v=""/>
    <s v=""/>
  </r>
  <r>
    <x v="2"/>
    <s v="2460415"/>
    <x v="47"/>
    <s v="110800113067"/>
    <s v="10023250016246"/>
    <d v="2025-02-07T00:00:00"/>
    <d v="2025-03-09T00:00:00"/>
    <n v="-9"/>
    <n v="13958.7"/>
    <x v="1"/>
    <s v=""/>
    <s v=""/>
    <s v=""/>
  </r>
  <r>
    <x v="2"/>
    <s v="2460415"/>
    <x v="47"/>
    <s v="110800113068"/>
    <s v="10023250016247"/>
    <d v="2025-02-07T00:00:00"/>
    <d v="2025-03-09T00:00:00"/>
    <n v="-9"/>
    <n v="40712.879999999997"/>
    <x v="1"/>
    <s v=""/>
    <s v=""/>
    <s v=""/>
  </r>
  <r>
    <x v="2"/>
    <s v="2460415"/>
    <x v="47"/>
    <s v="111000213799"/>
    <s v="10023240056467"/>
    <d v="2024-04-30T00:00:00"/>
    <d v="2024-06-02T00:00:00"/>
    <n v="271"/>
    <n v="18159.400000000001"/>
    <x v="1"/>
    <s v="18.10.24 RG wäre falsch. Roman Brückner fragen"/>
    <s v=""/>
    <n v="18159.400000000001"/>
  </r>
  <r>
    <x v="2"/>
    <s v="2460415"/>
    <x v="47"/>
    <s v="111000259828"/>
    <s v="10023240139842"/>
    <d v="2024-12-20T00:00:00"/>
    <d v="2025-01-19T00:00:00"/>
    <n v="40"/>
    <n v="159564.71000000002"/>
    <x v="1"/>
    <s v=""/>
    <s v=""/>
    <n v="159564.71000000002"/>
  </r>
  <r>
    <x v="2"/>
    <s v="2460415"/>
    <x v="47"/>
    <s v="401200008049"/>
    <s v=""/>
    <d v="2024-01-11T00:00:00"/>
    <d v="2024-01-11T00:00:00"/>
    <n v="414"/>
    <n v="-73510.259999999995"/>
    <x v="1"/>
    <s v=""/>
    <s v=""/>
    <n v="-73510.259999999995"/>
  </r>
  <r>
    <x v="2"/>
    <s v="2684112"/>
    <x v="48"/>
    <s v="110000054492"/>
    <s v="10023240020327"/>
    <d v="2024-02-05T00:00:00"/>
    <d v="2024-02-19T00:00:00"/>
    <n v="375"/>
    <n v="3534.3"/>
    <x v="1"/>
    <s v=""/>
    <s v=""/>
    <n v="3534.3"/>
  </r>
  <r>
    <x v="2"/>
    <s v="2684112"/>
    <x v="48"/>
    <s v="110300081964"/>
    <s v="10023240136298"/>
    <d v="2024-12-07T00:00:00"/>
    <d v="2024-12-21T00:00:00"/>
    <n v="69"/>
    <n v="1178.0999999999999"/>
    <x v="1"/>
    <s v=""/>
    <s v=""/>
    <n v="1178.0999999999999"/>
  </r>
  <r>
    <x v="2"/>
    <s v="2684112"/>
    <x v="48"/>
    <s v="110700102717"/>
    <s v="10023250013734"/>
    <d v="2025-02-05T00:00:00"/>
    <d v="2025-02-19T00:00:00"/>
    <n v="9"/>
    <n v="3534.3"/>
    <x v="1"/>
    <s v=""/>
    <s v=""/>
    <n v="3534.3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s v=""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  <r>
    <x v="3"/>
    <m/>
    <x v="49"/>
    <m/>
    <m/>
    <m/>
    <m/>
    <m/>
    <m/>
    <x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802671-D807-4C3F-A9D6-A99441CEA7CD}" name="PivotTable1" cacheId="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1:E52" firstHeaderRow="0" firstDataRow="1" firstDataCol="3"/>
  <pivotFields count="13">
    <pivotField axis="axisRow" compact="0" outline="0" showAll="0" defaultSubtotal="0">
      <items count="4">
        <item x="0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0">
        <item x="18"/>
        <item x="17"/>
        <item x="36"/>
        <item x="45"/>
        <item x="30"/>
        <item x="25"/>
        <item x="6"/>
        <item x="10"/>
        <item x="19"/>
        <item x="27"/>
        <item x="41"/>
        <item x="31"/>
        <item x="42"/>
        <item x="26"/>
        <item x="46"/>
        <item x="35"/>
        <item x="7"/>
        <item x="44"/>
        <item x="23"/>
        <item x="38"/>
        <item x="43"/>
        <item x="29"/>
        <item x="24"/>
        <item x="0"/>
        <item x="22"/>
        <item x="32"/>
        <item x="48"/>
        <item x="4"/>
        <item x="2"/>
        <item x="3"/>
        <item x="16"/>
        <item x="8"/>
        <item x="1"/>
        <item x="11"/>
        <item x="47"/>
        <item x="13"/>
        <item x="15"/>
        <item x="12"/>
        <item x="14"/>
        <item x="40"/>
        <item x="28"/>
        <item x="20"/>
        <item x="9"/>
        <item x="33"/>
        <item x="5"/>
        <item x="37"/>
        <item x="34"/>
        <item x="21"/>
        <item x="39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2"/>
    <field x="9"/>
  </rowFields>
  <rowItems count="51">
    <i>
      <x/>
      <x v="1"/>
      <x v="1"/>
    </i>
    <i r="1">
      <x v="6"/>
      <x v="1"/>
    </i>
    <i r="1">
      <x v="7"/>
      <x v="1"/>
    </i>
    <i r="1">
      <x v="16"/>
      <x v="1"/>
    </i>
    <i r="1">
      <x v="23"/>
      <x/>
    </i>
    <i r="2">
      <x v="1"/>
    </i>
    <i r="1">
      <x v="27"/>
      <x v="1"/>
    </i>
    <i r="1">
      <x v="28"/>
      <x v="1"/>
    </i>
    <i r="1">
      <x v="29"/>
      <x v="1"/>
    </i>
    <i r="1">
      <x v="30"/>
      <x v="1"/>
    </i>
    <i r="1">
      <x v="31"/>
      <x v="1"/>
    </i>
    <i r="1">
      <x v="32"/>
      <x v="1"/>
    </i>
    <i r="1">
      <x v="33"/>
      <x v="1"/>
    </i>
    <i r="1">
      <x v="35"/>
      <x v="1"/>
    </i>
    <i r="1">
      <x v="36"/>
      <x v="1"/>
    </i>
    <i r="1">
      <x v="37"/>
      <x v="1"/>
    </i>
    <i r="1">
      <x v="38"/>
      <x v="1"/>
    </i>
    <i r="1">
      <x v="42"/>
      <x v="1"/>
    </i>
    <i r="1">
      <x v="44"/>
      <x v="1"/>
    </i>
    <i>
      <x v="1"/>
      <x v="2"/>
      <x/>
    </i>
    <i r="1">
      <x v="3"/>
      <x/>
    </i>
    <i r="1">
      <x v="4"/>
      <x/>
    </i>
    <i r="1">
      <x v="5"/>
      <x/>
    </i>
    <i r="1">
      <x v="8"/>
      <x/>
    </i>
    <i r="1">
      <x v="9"/>
      <x/>
    </i>
    <i r="1">
      <x v="10"/>
      <x/>
    </i>
    <i r="1">
      <x v="11"/>
      <x/>
    </i>
    <i r="1">
      <x v="12"/>
      <x/>
    </i>
    <i r="1">
      <x v="13"/>
      <x/>
    </i>
    <i r="1">
      <x v="14"/>
      <x/>
    </i>
    <i r="1">
      <x v="15"/>
      <x/>
    </i>
    <i r="1">
      <x v="17"/>
      <x/>
    </i>
    <i r="1">
      <x v="18"/>
      <x/>
    </i>
    <i r="1">
      <x v="19"/>
      <x/>
    </i>
    <i r="1">
      <x v="20"/>
      <x/>
    </i>
    <i r="1">
      <x v="21"/>
      <x/>
    </i>
    <i r="1">
      <x v="22"/>
      <x/>
    </i>
    <i r="1">
      <x v="24"/>
      <x/>
    </i>
    <i r="1">
      <x v="25"/>
      <x/>
    </i>
    <i r="1">
      <x v="26"/>
      <x/>
    </i>
    <i r="1">
      <x v="34"/>
      <x/>
    </i>
    <i r="1">
      <x v="39"/>
      <x/>
    </i>
    <i r="1">
      <x v="40"/>
      <x/>
    </i>
    <i r="1">
      <x v="41"/>
      <x/>
    </i>
    <i r="1">
      <x v="43"/>
      <x/>
    </i>
    <i r="1">
      <x v="45"/>
      <x/>
    </i>
    <i r="1">
      <x v="46"/>
      <x/>
    </i>
    <i r="1">
      <x v="47"/>
      <x/>
    </i>
    <i r="1">
      <x v="48"/>
      <x/>
    </i>
    <i>
      <x v="2"/>
      <x v="49"/>
      <x v="2"/>
    </i>
    <i>
      <x v="3"/>
      <x/>
      <x/>
    </i>
  </rowItems>
  <colFields count="1">
    <field x="-2"/>
  </colFields>
  <colItems count="2">
    <i>
      <x/>
    </i>
    <i i="1">
      <x v="1"/>
    </i>
  </colItems>
  <dataFields count="2">
    <dataField name="Sum of Document Amount" fld="8" baseField="2" baseItem="1" numFmtId="166"/>
    <dataField name="Sum of Overdue amt" fld="12" baseField="2" baseItem="1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0D201-5CAB-4B61-A716-B31558DC6FD0}">
  <sheetPr codeName="Sheet2">
    <tabColor theme="4" tint="0.39997558519241921"/>
  </sheetPr>
  <dimension ref="A1:P37"/>
  <sheetViews>
    <sheetView tabSelected="1" zoomScale="70" zoomScaleNormal="70" workbookViewId="0">
      <selection activeCell="K38" sqref="K38"/>
    </sheetView>
  </sheetViews>
  <sheetFormatPr defaultRowHeight="15" x14ac:dyDescent="0.25"/>
  <cols>
    <col min="1" max="1" width="17.7109375" style="2" customWidth="1"/>
    <col min="2" max="2" width="23.7109375" style="2" customWidth="1"/>
    <col min="3" max="3" width="35" style="2" bestFit="1" customWidth="1"/>
    <col min="4" max="4" width="19.42578125" style="3" customWidth="1"/>
    <col min="5" max="5" width="23.5703125" style="3" customWidth="1"/>
    <col min="6" max="6" width="20.7109375" style="3" bestFit="1" customWidth="1"/>
    <col min="7" max="7" width="17.7109375" style="3" customWidth="1"/>
    <col min="8" max="8" width="17.7109375" style="2" customWidth="1"/>
    <col min="9" max="9" width="34" style="31" customWidth="1"/>
    <col min="10" max="10" width="13.28515625" style="2" customWidth="1"/>
    <col min="11" max="11" width="49.5703125" style="2" bestFit="1" customWidth="1"/>
    <col min="12" max="12" width="14.5703125" style="2" customWidth="1"/>
    <col min="13" max="13" width="16.42578125" style="24" bestFit="1" customWidth="1"/>
    <col min="14" max="14" width="9.140625" style="24"/>
    <col min="15" max="15" width="16.85546875" style="24" bestFit="1" customWidth="1"/>
    <col min="16" max="16" width="9.140625" style="24"/>
    <col min="17" max="16384" width="9.140625" style="2"/>
  </cols>
  <sheetData>
    <row r="1" spans="1:15" ht="15.75" thickBot="1" x14ac:dyDescent="0.3">
      <c r="A1" s="21" t="s">
        <v>0</v>
      </c>
      <c r="B1" s="14" t="s">
        <v>1</v>
      </c>
      <c r="C1" s="44" t="s">
        <v>5</v>
      </c>
      <c r="D1" s="16" t="s">
        <v>2</v>
      </c>
      <c r="E1" s="22">
        <v>1000000</v>
      </c>
      <c r="F1" s="3">
        <v>100000</v>
      </c>
      <c r="G1" s="28"/>
      <c r="H1" s="18"/>
    </row>
    <row r="2" spans="1:15" ht="15.75" thickBot="1" x14ac:dyDescent="0.3">
      <c r="A2" s="47" t="s">
        <v>29</v>
      </c>
      <c r="C2" s="45"/>
      <c r="D2" s="15" t="s">
        <v>3</v>
      </c>
      <c r="E2" s="23">
        <v>500000</v>
      </c>
      <c r="G2" s="29"/>
      <c r="H2" s="19"/>
    </row>
    <row r="3" spans="1:15" ht="15.75" thickBot="1" x14ac:dyDescent="0.3">
      <c r="A3" s="48"/>
      <c r="B3" s="1"/>
      <c r="C3" s="46"/>
      <c r="D3" s="17" t="s">
        <v>4</v>
      </c>
      <c r="E3" s="22">
        <v>500000</v>
      </c>
      <c r="F3" s="27"/>
      <c r="G3" s="30"/>
      <c r="H3" s="20"/>
      <c r="I3" s="32"/>
      <c r="J3" s="8"/>
      <c r="K3" s="8"/>
      <c r="L3" s="8"/>
    </row>
    <row r="4" spans="1:15" ht="15.75" x14ac:dyDescent="0.25">
      <c r="A4" s="34" t="str" cm="1">
        <f t="array" ref="A4:L22">_xlfn._xlws.FILTER(Data!A:L,(Data!I:I&gt;IF(Data!A:A="0023",$E$1,IF(Data!M:M="0003",$E$3,$E$2))))</f>
        <v>Company Code</v>
      </c>
      <c r="B4" s="35" t="str">
        <v>Business Partner</v>
      </c>
      <c r="C4" s="35" t="str">
        <v>BusinessPartner Name</v>
      </c>
      <c r="D4" s="36" t="str">
        <v>Document Number</v>
      </c>
      <c r="E4" s="36" t="str">
        <v>Ref. document number</v>
      </c>
      <c r="F4" s="36" t="str">
        <v>Document Date</v>
      </c>
      <c r="G4" s="36" t="str">
        <v>Net Due Date</v>
      </c>
      <c r="H4" s="35" t="str">
        <v>Days Past Due</v>
      </c>
      <c r="I4" s="37" t="str">
        <v>Document Amount</v>
      </c>
      <c r="J4" s="38" t="str">
        <v>Doc currency</v>
      </c>
      <c r="K4" s="38" t="str">
        <v>Text</v>
      </c>
      <c r="L4" s="38" t="str">
        <v>Disputes Exists</v>
      </c>
      <c r="M4" s="25"/>
      <c r="N4" s="25"/>
      <c r="O4" s="26"/>
    </row>
    <row r="5" spans="1:15" x14ac:dyDescent="0.25">
      <c r="A5" s="4" t="str">
        <v>0002</v>
      </c>
      <c r="B5" s="4" t="str">
        <v>10028</v>
      </c>
      <c r="C5" s="4" t="str">
        <v>Georg Fischer AG</v>
      </c>
      <c r="D5" s="5" t="str">
        <v>110900091978</v>
      </c>
      <c r="E5" s="5" t="str">
        <v>10002250003310</v>
      </c>
      <c r="F5" s="5">
        <v>45715</v>
      </c>
      <c r="G5" s="5">
        <v>45745</v>
      </c>
      <c r="H5" s="4">
        <v>-29</v>
      </c>
      <c r="I5" s="33">
        <v>2374278.6800000006</v>
      </c>
      <c r="J5" s="4" t="str">
        <v>EUR</v>
      </c>
      <c r="K5" s="4" t="str">
        <v/>
      </c>
      <c r="L5" s="4" t="str">
        <v/>
      </c>
    </row>
    <row r="6" spans="1:15" x14ac:dyDescent="0.25">
      <c r="A6" s="4" t="str">
        <v>0002</v>
      </c>
      <c r="B6" s="4" t="str">
        <v>12294</v>
      </c>
      <c r="C6" s="4" t="str">
        <v>Lonza AG</v>
      </c>
      <c r="D6" s="5" t="str">
        <v>110100089086</v>
      </c>
      <c r="E6" s="4" t="str">
        <v>10002250000111</v>
      </c>
      <c r="F6" s="5">
        <v>45662</v>
      </c>
      <c r="G6" s="5">
        <v>45692</v>
      </c>
      <c r="H6" s="4">
        <v>24</v>
      </c>
      <c r="I6" s="33">
        <v>643063.05000000005</v>
      </c>
      <c r="J6" s="4" t="str">
        <v>CHF</v>
      </c>
      <c r="K6" s="4" t="str">
        <v/>
      </c>
      <c r="L6" s="4" t="str">
        <v/>
      </c>
      <c r="M6" s="24" t="s">
        <v>24</v>
      </c>
    </row>
    <row r="7" spans="1:15" x14ac:dyDescent="0.25">
      <c r="A7" s="4" t="str">
        <v>0002</v>
      </c>
      <c r="B7" s="4" t="str">
        <v>12294</v>
      </c>
      <c r="C7" s="4" t="str">
        <v>Lonza AG</v>
      </c>
      <c r="D7" s="5" t="str">
        <v>110300089405</v>
      </c>
      <c r="E7" s="4" t="str">
        <v>10002250002906</v>
      </c>
      <c r="F7" s="5">
        <v>45702</v>
      </c>
      <c r="G7" s="5">
        <v>45747</v>
      </c>
      <c r="H7" s="4">
        <v>-31</v>
      </c>
      <c r="I7" s="33">
        <v>836077.87</v>
      </c>
      <c r="J7" s="4" t="str">
        <v>CHF</v>
      </c>
      <c r="K7" s="4" t="str">
        <v/>
      </c>
      <c r="L7" s="4" t="str">
        <v/>
      </c>
      <c r="M7" s="24" t="s">
        <v>24</v>
      </c>
    </row>
    <row r="8" spans="1:15" ht="18" customHeight="1" x14ac:dyDescent="0.25">
      <c r="A8" s="4" t="str">
        <v>0002</v>
      </c>
      <c r="B8" s="4" t="str">
        <v>12294</v>
      </c>
      <c r="C8" s="4" t="str">
        <v>Lonza AG</v>
      </c>
      <c r="D8" s="5" t="str">
        <v>110600097016</v>
      </c>
      <c r="E8" s="4" t="str">
        <v>10002250003222</v>
      </c>
      <c r="F8" s="5">
        <v>45712</v>
      </c>
      <c r="G8" s="5">
        <v>45742</v>
      </c>
      <c r="H8" s="4">
        <v>-26</v>
      </c>
      <c r="I8" s="33">
        <v>1822239.48</v>
      </c>
      <c r="J8" s="4" t="str">
        <v>CHF</v>
      </c>
      <c r="K8" s="4" t="str">
        <v/>
      </c>
      <c r="L8" s="4" t="str">
        <v/>
      </c>
      <c r="M8" s="24" t="s">
        <v>24</v>
      </c>
    </row>
    <row r="9" spans="1:15" x14ac:dyDescent="0.25">
      <c r="A9" s="4" t="str">
        <v>0002</v>
      </c>
      <c r="B9" s="4" t="str">
        <v>14563</v>
      </c>
      <c r="C9" s="4" t="str">
        <v>Ivoclar Vivadent AG</v>
      </c>
      <c r="D9" s="5" t="str">
        <v>110100098964</v>
      </c>
      <c r="E9" s="5" t="str">
        <v>10002250002748</v>
      </c>
      <c r="F9" s="5">
        <v>45701</v>
      </c>
      <c r="G9" s="5">
        <v>45731</v>
      </c>
      <c r="H9" s="4">
        <v>-15</v>
      </c>
      <c r="I9" s="33">
        <v>576622.81999999995</v>
      </c>
      <c r="J9" s="4" t="str">
        <v>CHF</v>
      </c>
      <c r="K9" s="4" t="str">
        <v/>
      </c>
      <c r="L9" s="4" t="str">
        <v/>
      </c>
    </row>
    <row r="10" spans="1:15" x14ac:dyDescent="0.25">
      <c r="A10" s="4" t="str">
        <v>0002</v>
      </c>
      <c r="B10" s="4" t="str">
        <v>27271</v>
      </c>
      <c r="C10" s="4" t="str">
        <v>Jet Aviation Management AG</v>
      </c>
      <c r="D10" s="5" t="str">
        <v>110100089155</v>
      </c>
      <c r="E10" s="5" t="str">
        <v>10002250000180</v>
      </c>
      <c r="F10" s="5">
        <v>45662</v>
      </c>
      <c r="G10" s="5">
        <v>45692</v>
      </c>
      <c r="H10" s="4">
        <v>24</v>
      </c>
      <c r="I10" s="33">
        <v>832843.3400000002</v>
      </c>
      <c r="J10" s="4" t="str">
        <v>CHF</v>
      </c>
      <c r="K10" t="str">
        <v/>
      </c>
      <c r="L10" s="4" t="str">
        <v/>
      </c>
      <c r="M10" s="24" t="s">
        <v>24</v>
      </c>
    </row>
    <row r="11" spans="1:15" x14ac:dyDescent="0.25">
      <c r="A11" s="4" t="str">
        <v>0002</v>
      </c>
      <c r="B11" s="4" t="str">
        <v>347244</v>
      </c>
      <c r="C11" s="4" t="str">
        <v>SR Technics Switzerland Ltd.</v>
      </c>
      <c r="D11" s="5" t="str">
        <v>110100083911</v>
      </c>
      <c r="E11" s="5" t="str">
        <v>10002240021876</v>
      </c>
      <c r="F11" s="5">
        <v>45631</v>
      </c>
      <c r="G11" s="5">
        <v>45661</v>
      </c>
      <c r="H11" s="4">
        <v>55</v>
      </c>
      <c r="I11" s="33">
        <v>1133471.93</v>
      </c>
      <c r="J11" s="4" t="str">
        <v>CHF</v>
      </c>
      <c r="K11" s="4" t="str">
        <v>under clarification - purchasing dep, remind 13.2.</v>
      </c>
      <c r="L11" s="4" t="str">
        <v/>
      </c>
      <c r="M11" s="24" t="s">
        <v>24</v>
      </c>
    </row>
    <row r="12" spans="1:15" x14ac:dyDescent="0.25">
      <c r="A12" s="4" t="str">
        <v>0002</v>
      </c>
      <c r="B12" s="4" t="str">
        <v>347244</v>
      </c>
      <c r="C12" s="4" t="str">
        <v>SR Technics Switzerland Ltd.</v>
      </c>
      <c r="D12" s="5" t="str">
        <v>110100083912</v>
      </c>
      <c r="E12" s="5" t="str">
        <v>10002240021877</v>
      </c>
      <c r="F12" s="5">
        <v>45631</v>
      </c>
      <c r="G12" s="5">
        <v>45661</v>
      </c>
      <c r="H12" s="4">
        <v>55</v>
      </c>
      <c r="I12" s="33">
        <v>1016009.2000000001</v>
      </c>
      <c r="J12" s="4" t="str">
        <v>CHF</v>
      </c>
      <c r="K12" s="4" t="str">
        <v>under clarification - purchasing dep, remind 13.2.</v>
      </c>
      <c r="L12" s="4" t="str">
        <v/>
      </c>
      <c r="M12" s="24" t="s">
        <v>24</v>
      </c>
    </row>
    <row r="13" spans="1:15" x14ac:dyDescent="0.25">
      <c r="A13" s="4" t="str">
        <v>0002</v>
      </c>
      <c r="B13" s="40" t="str">
        <v>737057</v>
      </c>
      <c r="C13" s="4" t="str">
        <v>Novelis AG</v>
      </c>
      <c r="D13" s="5" t="str">
        <v>110000110165</v>
      </c>
      <c r="E13" s="5" t="str">
        <v>10002250001818</v>
      </c>
      <c r="F13" s="5">
        <v>45686</v>
      </c>
      <c r="G13" s="5">
        <v>45716</v>
      </c>
      <c r="H13" s="4">
        <v>0</v>
      </c>
      <c r="I13" s="33">
        <v>557030.68999999994</v>
      </c>
      <c r="J13" s="4" t="str">
        <v>CHF</v>
      </c>
      <c r="K13" s="4" t="str">
        <v/>
      </c>
      <c r="L13" s="4" t="str">
        <v/>
      </c>
    </row>
    <row r="14" spans="1:15" x14ac:dyDescent="0.25">
      <c r="A14" s="4" t="str">
        <v>0023</v>
      </c>
      <c r="B14" s="40" t="str">
        <v>10107</v>
      </c>
      <c r="C14" s="4" t="str">
        <v>Beiersdorf Shared Services GmbH</v>
      </c>
      <c r="D14" s="5" t="str">
        <v>110300083978</v>
      </c>
      <c r="E14" s="5" t="str">
        <v>10023250002440</v>
      </c>
      <c r="F14" s="5">
        <v>45663</v>
      </c>
      <c r="G14" s="5">
        <v>45693</v>
      </c>
      <c r="H14" s="4">
        <v>23</v>
      </c>
      <c r="I14" s="33">
        <v>1272751.01</v>
      </c>
      <c r="J14" s="4" t="str">
        <v>EUR</v>
      </c>
      <c r="K14" s="4" t="str">
        <v/>
      </c>
      <c r="L14" s="4" t="str">
        <v/>
      </c>
      <c r="M14" s="24" t="s">
        <v>24</v>
      </c>
    </row>
    <row r="15" spans="1:15" x14ac:dyDescent="0.25">
      <c r="A15" s="4" t="str">
        <v>0023</v>
      </c>
      <c r="B15" s="40" t="str">
        <v>10107</v>
      </c>
      <c r="C15" s="4" t="str">
        <v>Beiersdorf Shared Services GmbH</v>
      </c>
      <c r="D15" s="5" t="str">
        <v>110800112880</v>
      </c>
      <c r="E15" s="5" t="str">
        <v>10023250016059</v>
      </c>
      <c r="F15" s="5">
        <v>45695</v>
      </c>
      <c r="G15" s="5">
        <v>45725</v>
      </c>
      <c r="H15" s="4">
        <v>-9</v>
      </c>
      <c r="I15" s="33">
        <v>1586442.26</v>
      </c>
      <c r="J15" s="4" t="str">
        <v>EUR</v>
      </c>
      <c r="K15" s="4" t="str">
        <v/>
      </c>
      <c r="L15" s="4" t="str">
        <v/>
      </c>
    </row>
    <row r="16" spans="1:15" x14ac:dyDescent="0.25">
      <c r="A16" s="4" t="str">
        <v>0023</v>
      </c>
      <c r="B16" s="40" t="str">
        <v>10176</v>
      </c>
      <c r="C16" s="4" t="str">
        <v>Schaeffler Technologies AG &amp; Co. KG</v>
      </c>
      <c r="D16" s="5" t="str">
        <v>110000108013</v>
      </c>
      <c r="E16" s="5" t="str">
        <v>10023250000148</v>
      </c>
      <c r="F16" s="5">
        <v>45660</v>
      </c>
      <c r="G16" s="5">
        <v>45720</v>
      </c>
      <c r="H16" s="4">
        <v>-4</v>
      </c>
      <c r="I16" s="33">
        <v>3424511.61</v>
      </c>
      <c r="J16" s="4" t="str">
        <v>EUR</v>
      </c>
      <c r="K16" s="4" t="str">
        <v/>
      </c>
      <c r="L16" s="4" t="str">
        <v/>
      </c>
    </row>
    <row r="17" spans="1:13" x14ac:dyDescent="0.25">
      <c r="A17" s="4" t="str">
        <v>0023</v>
      </c>
      <c r="B17" s="41" t="str">
        <v>10176</v>
      </c>
      <c r="C17" s="4" t="str">
        <v>Schaeffler Technologies AG &amp; Co. KG</v>
      </c>
      <c r="D17" s="5" t="str">
        <v>110800113386</v>
      </c>
      <c r="E17" s="5" t="str">
        <v>10023250016565</v>
      </c>
      <c r="F17" s="5">
        <v>45695</v>
      </c>
      <c r="G17" s="5">
        <v>45740</v>
      </c>
      <c r="H17" s="4">
        <v>-24</v>
      </c>
      <c r="I17" s="33">
        <v>2409663.7000000002</v>
      </c>
      <c r="J17" s="4" t="str">
        <v>EUR</v>
      </c>
      <c r="K17" s="4" t="str">
        <v/>
      </c>
      <c r="L17" s="4" t="str">
        <v/>
      </c>
    </row>
    <row r="18" spans="1:13" x14ac:dyDescent="0.25">
      <c r="A18" s="4" t="str">
        <v>0023</v>
      </c>
      <c r="B18" s="40" t="str">
        <v>10813</v>
      </c>
      <c r="C18" s="4" t="str">
        <v>Fraport AG</v>
      </c>
      <c r="D18" s="5" t="str">
        <v>110000112148</v>
      </c>
      <c r="E18" s="5" t="str">
        <v>10023250017839</v>
      </c>
      <c r="F18" s="5">
        <v>45700</v>
      </c>
      <c r="G18" s="5">
        <v>45714</v>
      </c>
      <c r="H18" s="4">
        <v>2</v>
      </c>
      <c r="I18" s="33">
        <v>1065606.6200000001</v>
      </c>
      <c r="J18" s="4" t="str">
        <v>EUR</v>
      </c>
      <c r="K18" s="4" t="str">
        <v/>
      </c>
      <c r="L18" s="4" t="str">
        <v/>
      </c>
      <c r="M18" s="24" t="s">
        <v>24</v>
      </c>
    </row>
    <row r="19" spans="1:13" x14ac:dyDescent="0.25">
      <c r="A19" s="4" t="str">
        <v>0023</v>
      </c>
      <c r="B19" s="40" t="str">
        <v>299765</v>
      </c>
      <c r="C19" s="4" t="str">
        <v>TÜV SÜD AG</v>
      </c>
      <c r="D19" s="5" t="str">
        <v>110200084942</v>
      </c>
      <c r="E19" s="5" t="str">
        <v>10023250010361</v>
      </c>
      <c r="F19" s="5">
        <v>45684</v>
      </c>
      <c r="G19" s="5">
        <v>45714</v>
      </c>
      <c r="H19" s="4">
        <v>2</v>
      </c>
      <c r="I19" s="33">
        <v>1099697.3899999999</v>
      </c>
      <c r="J19" s="4" t="str">
        <v>EUR</v>
      </c>
      <c r="K19" s="4" t="str">
        <v/>
      </c>
      <c r="L19" s="4" t="str">
        <v/>
      </c>
      <c r="M19" s="24" t="s">
        <v>24</v>
      </c>
    </row>
    <row r="20" spans="1:13" x14ac:dyDescent="0.25">
      <c r="A20" s="4" t="str">
        <v>0023</v>
      </c>
      <c r="B20" s="40" t="str">
        <v>487331</v>
      </c>
      <c r="C20" s="4" t="str">
        <v>TÜV Rheinland Service GmbH</v>
      </c>
      <c r="D20" s="5" t="str">
        <v>110200090220</v>
      </c>
      <c r="E20" s="5" t="str">
        <v>10023250019890</v>
      </c>
      <c r="F20" s="5">
        <v>45709</v>
      </c>
      <c r="G20" s="5">
        <v>45723</v>
      </c>
      <c r="H20" s="4">
        <v>-7</v>
      </c>
      <c r="I20" s="33">
        <v>1058969.3500000001</v>
      </c>
      <c r="J20" s="4" t="str">
        <v>EUR</v>
      </c>
      <c r="K20" s="4" t="str">
        <v/>
      </c>
      <c r="L20" s="4" t="str">
        <v/>
      </c>
    </row>
    <row r="21" spans="1:13" x14ac:dyDescent="0.25">
      <c r="A21" s="4" t="str">
        <v>0023</v>
      </c>
      <c r="B21" s="40" t="str">
        <v>960293</v>
      </c>
      <c r="C21" s="4" t="str">
        <v>CITTI Handelsgesellschaft mbH &amp; Co.KG</v>
      </c>
      <c r="D21" s="5" t="str">
        <v>110700103244</v>
      </c>
      <c r="E21" s="5" t="str">
        <v>10023250014261</v>
      </c>
      <c r="F21" s="5">
        <v>45693</v>
      </c>
      <c r="G21" s="5">
        <v>45707</v>
      </c>
      <c r="H21" s="4">
        <v>9</v>
      </c>
      <c r="I21" s="33">
        <v>2197040.64</v>
      </c>
      <c r="J21" s="4" t="str">
        <v>EUR</v>
      </c>
      <c r="K21" s="4" t="str">
        <v/>
      </c>
      <c r="L21" s="4" t="str">
        <v/>
      </c>
      <c r="M21" s="24" t="s">
        <v>24</v>
      </c>
    </row>
    <row r="22" spans="1:13" x14ac:dyDescent="0.25">
      <c r="A22" s="4" t="str">
        <v>0023</v>
      </c>
      <c r="B22" s="40" t="str">
        <v>2460415</v>
      </c>
      <c r="C22" s="4" t="str">
        <v>METRO Digital GmbH</v>
      </c>
      <c r="D22" s="5" t="str">
        <v>110800113064</v>
      </c>
      <c r="E22" s="5" t="str">
        <v>10023250016243</v>
      </c>
      <c r="F22" s="5">
        <v>45695</v>
      </c>
      <c r="G22" s="5">
        <v>45725</v>
      </c>
      <c r="H22" s="4">
        <v>-9</v>
      </c>
      <c r="I22" s="33">
        <v>1381558.44</v>
      </c>
      <c r="J22" s="4" t="str">
        <v>EUR</v>
      </c>
      <c r="K22" s="4" t="str">
        <v/>
      </c>
      <c r="L22" s="4" t="str">
        <v/>
      </c>
    </row>
    <row r="23" spans="1:13" x14ac:dyDescent="0.25">
      <c r="A23" s="4"/>
      <c r="B23" s="40"/>
      <c r="C23" s="4"/>
      <c r="D23" s="5"/>
      <c r="E23" s="5"/>
      <c r="F23" s="5"/>
      <c r="G23" s="5"/>
      <c r="H23" s="4"/>
      <c r="I23" s="33"/>
      <c r="J23" s="4"/>
      <c r="K23" s="4"/>
      <c r="L23" s="4"/>
    </row>
    <row r="24" spans="1:13" x14ac:dyDescent="0.25">
      <c r="A24" s="4"/>
      <c r="B24" s="40"/>
      <c r="C24" s="4"/>
      <c r="D24" s="5"/>
      <c r="E24" s="5"/>
      <c r="F24" s="5"/>
      <c r="G24" s="5"/>
      <c r="H24" s="4"/>
      <c r="I24" s="33"/>
      <c r="J24" s="4"/>
      <c r="K24" s="4"/>
      <c r="L24" s="4"/>
    </row>
    <row r="25" spans="1:13" x14ac:dyDescent="0.25">
      <c r="A25" s="4"/>
      <c r="B25" s="40"/>
      <c r="C25" s="4"/>
      <c r="D25" s="5"/>
      <c r="E25" s="5"/>
      <c r="F25" s="5"/>
      <c r="G25" s="5"/>
      <c r="H25" s="4"/>
      <c r="I25" s="33"/>
      <c r="J25" s="4"/>
      <c r="K25" s="4"/>
      <c r="L25" s="4"/>
    </row>
    <row r="26" spans="1:13" x14ac:dyDescent="0.25">
      <c r="A26" s="4"/>
      <c r="B26" s="40"/>
      <c r="C26" s="4"/>
      <c r="D26" s="5"/>
      <c r="E26" s="5"/>
      <c r="F26" s="5"/>
      <c r="G26" s="5"/>
      <c r="H26" s="4"/>
      <c r="I26" s="33"/>
      <c r="J26" s="4"/>
      <c r="K26" s="4"/>
      <c r="L26" s="4"/>
    </row>
    <row r="27" spans="1:13" x14ac:dyDescent="0.25">
      <c r="A27" s="4"/>
      <c r="B27" s="40"/>
      <c r="C27" s="4"/>
      <c r="D27" s="5"/>
      <c r="E27" s="5"/>
      <c r="F27" s="5"/>
      <c r="G27" s="5"/>
      <c r="H27" s="4"/>
      <c r="I27" s="33"/>
      <c r="J27" s="4"/>
      <c r="K27" s="4"/>
      <c r="L27" s="4"/>
    </row>
    <row r="28" spans="1:13" x14ac:dyDescent="0.25">
      <c r="A28" s="4"/>
      <c r="B28" s="4"/>
      <c r="C28" s="4"/>
      <c r="D28" s="5"/>
      <c r="E28" s="5"/>
      <c r="F28" s="5"/>
      <c r="G28" s="5"/>
      <c r="H28" s="4"/>
      <c r="I28" s="33"/>
      <c r="J28" s="4"/>
      <c r="K28" s="4"/>
      <c r="L28" s="4"/>
    </row>
    <row r="29" spans="1:13" x14ac:dyDescent="0.25">
      <c r="A29" s="4"/>
      <c r="B29" s="4"/>
      <c r="C29" s="4"/>
      <c r="D29" s="5"/>
      <c r="E29" s="5"/>
      <c r="F29" s="5"/>
      <c r="G29" s="5"/>
      <c r="H29" s="4"/>
      <c r="I29" s="33"/>
      <c r="J29" s="4"/>
      <c r="K29" s="4"/>
      <c r="L29" s="4"/>
    </row>
    <row r="30" spans="1:13" x14ac:dyDescent="0.25">
      <c r="A30" s="4"/>
      <c r="B30" s="4"/>
      <c r="C30" s="4"/>
      <c r="D30" s="5"/>
      <c r="E30" s="5"/>
      <c r="F30" s="5"/>
      <c r="G30" s="5"/>
      <c r="H30" s="4"/>
      <c r="I30" s="33"/>
      <c r="J30" s="4"/>
      <c r="K30" s="4"/>
      <c r="L30" s="4"/>
    </row>
    <row r="31" spans="1:13" x14ac:dyDescent="0.25">
      <c r="A31" s="4"/>
      <c r="B31" s="4"/>
      <c r="C31" s="4"/>
      <c r="D31" s="5"/>
      <c r="E31" s="5"/>
      <c r="F31" s="5"/>
      <c r="G31" s="5"/>
      <c r="H31" s="4"/>
      <c r="I31" s="33"/>
      <c r="J31" s="4"/>
      <c r="K31" s="4"/>
      <c r="L31" s="4"/>
    </row>
    <row r="32" spans="1:13" x14ac:dyDescent="0.25">
      <c r="A32" s="4"/>
      <c r="B32" s="4"/>
      <c r="C32" s="4"/>
      <c r="D32" s="5"/>
      <c r="E32" s="5"/>
      <c r="F32" s="5"/>
      <c r="G32" s="5"/>
      <c r="H32" s="4"/>
      <c r="I32" s="33"/>
      <c r="J32" s="4"/>
      <c r="K32" s="4"/>
      <c r="L32" s="4"/>
    </row>
    <row r="33" spans="1:12" x14ac:dyDescent="0.25">
      <c r="A33" s="4"/>
      <c r="B33" s="4"/>
      <c r="C33" s="4"/>
      <c r="D33" s="5"/>
      <c r="E33" s="5"/>
      <c r="F33" s="5"/>
      <c r="G33" s="5"/>
      <c r="H33" s="4"/>
      <c r="I33" s="33"/>
      <c r="J33" s="4"/>
      <c r="K33" s="4"/>
      <c r="L33" s="4"/>
    </row>
    <row r="34" spans="1:12" x14ac:dyDescent="0.25">
      <c r="A34" s="4"/>
      <c r="B34" s="4"/>
      <c r="C34" s="4"/>
      <c r="D34" s="5"/>
      <c r="E34" s="5"/>
      <c r="F34" s="5"/>
      <c r="G34" s="5"/>
      <c r="H34" s="4"/>
      <c r="I34" s="33"/>
      <c r="J34" s="4"/>
      <c r="K34" s="4"/>
      <c r="L34" s="4"/>
    </row>
    <row r="35" spans="1:12" x14ac:dyDescent="0.25">
      <c r="A35" s="4"/>
      <c r="B35" s="4"/>
      <c r="C35" s="4"/>
      <c r="D35" s="5"/>
      <c r="E35" s="5"/>
      <c r="F35" s="5"/>
      <c r="G35" s="5"/>
      <c r="H35" s="4"/>
      <c r="I35" s="33"/>
      <c r="J35" s="4"/>
      <c r="K35" s="4"/>
      <c r="L35" s="4"/>
    </row>
    <row r="36" spans="1:12" x14ac:dyDescent="0.25">
      <c r="A36" s="4"/>
      <c r="B36" s="4"/>
      <c r="C36" s="4"/>
      <c r="D36" s="5"/>
      <c r="E36" s="5"/>
      <c r="F36" s="5"/>
      <c r="G36" s="5"/>
      <c r="H36" s="4"/>
      <c r="I36" s="33"/>
      <c r="J36" s="4"/>
      <c r="K36" s="4"/>
      <c r="L36" s="4"/>
    </row>
    <row r="37" spans="1:12" x14ac:dyDescent="0.25">
      <c r="A37" s="4"/>
      <c r="B37" s="4"/>
      <c r="C37" s="4"/>
      <c r="D37" s="5"/>
      <c r="E37" s="5"/>
      <c r="F37" s="5"/>
      <c r="G37" s="5"/>
      <c r="H37" s="4"/>
      <c r="I37" s="33"/>
      <c r="J37" s="4"/>
      <c r="K37" s="4"/>
      <c r="L37" s="4"/>
    </row>
  </sheetData>
  <autoFilter ref="A4:L23" xr:uid="{3580D201-5CAB-4B61-A716-B31558DC6FD0}"/>
  <mergeCells count="2">
    <mergeCell ref="C1:C3"/>
    <mergeCell ref="A2:A3"/>
  </mergeCells>
  <conditionalFormatting sqref="H1:H1048576">
    <cfRule type="colorScale" priority="2">
      <colorScale>
        <cfvo type="min"/>
        <cfvo type="num" val="0"/>
        <cfvo type="max"/>
        <color rgb="FF63BE7B"/>
        <color rgb="FFFFEB84"/>
        <color rgb="FFF8696B"/>
      </colorScale>
    </cfRule>
  </conditionalFormatting>
  <conditionalFormatting sqref="I1:I104857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taGrab">
                <anchor moveWithCells="1" sizeWithCells="1">
                  <from>
                    <xdr:col>1</xdr:col>
                    <xdr:colOff>9525</xdr:colOff>
                    <xdr:row>0</xdr:row>
                    <xdr:rowOff>9525</xdr:rowOff>
                  </from>
                  <to>
                    <xdr:col>1</xdr:col>
                    <xdr:colOff>2562225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Data">
                <anchor moveWithCells="1" sizeWithCells="1">
                  <from>
                    <xdr:col>5</xdr:col>
                    <xdr:colOff>19050</xdr:colOff>
                    <xdr:row>0</xdr:row>
                    <xdr:rowOff>9525</xdr:rowOff>
                  </from>
                  <to>
                    <xdr:col>7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Export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A67EE-94FE-42EA-A49A-F5E8272B7908}">
  <sheetPr codeName="Sheet1"/>
  <dimension ref="A1:E52"/>
  <sheetViews>
    <sheetView workbookViewId="0">
      <selection activeCell="H42" sqref="H42"/>
    </sheetView>
  </sheetViews>
  <sheetFormatPr defaultRowHeight="15" x14ac:dyDescent="0.25"/>
  <cols>
    <col min="1" max="1" width="42.5703125" bestFit="1" customWidth="1"/>
    <col min="2" max="2" width="39.7109375" bestFit="1" customWidth="1"/>
    <col min="3" max="3" width="14.5703125" bestFit="1" customWidth="1"/>
    <col min="4" max="4" width="24.7109375" bestFit="1" customWidth="1"/>
    <col min="5" max="5" width="19.42578125" bestFit="1" customWidth="1"/>
  </cols>
  <sheetData>
    <row r="1" spans="1:5" x14ac:dyDescent="0.25">
      <c r="A1" s="42" t="s">
        <v>9</v>
      </c>
      <c r="B1" s="42" t="s">
        <v>11</v>
      </c>
      <c r="C1" s="42" t="s">
        <v>18</v>
      </c>
      <c r="D1" t="s">
        <v>28</v>
      </c>
      <c r="E1" t="s">
        <v>27</v>
      </c>
    </row>
    <row r="2" spans="1:5" x14ac:dyDescent="0.25">
      <c r="A2" t="s">
        <v>6</v>
      </c>
      <c r="B2" t="s">
        <v>109</v>
      </c>
      <c r="C2" t="s">
        <v>23</v>
      </c>
      <c r="D2" s="43">
        <v>7418.7599999999993</v>
      </c>
      <c r="E2" s="43">
        <v>2671.79</v>
      </c>
    </row>
    <row r="3" spans="1:5" x14ac:dyDescent="0.25">
      <c r="A3" t="s">
        <v>6</v>
      </c>
      <c r="B3" t="s">
        <v>68</v>
      </c>
      <c r="C3" t="s">
        <v>23</v>
      </c>
      <c r="D3" s="43">
        <v>320721.95999999996</v>
      </c>
      <c r="E3" s="43">
        <v>18544.32</v>
      </c>
    </row>
    <row r="4" spans="1:5" x14ac:dyDescent="0.25">
      <c r="A4" t="s">
        <v>6</v>
      </c>
      <c r="B4" t="s">
        <v>717</v>
      </c>
      <c r="C4" t="s">
        <v>23</v>
      </c>
      <c r="D4" s="43">
        <v>44805.58</v>
      </c>
      <c r="E4" s="43">
        <v>0</v>
      </c>
    </row>
    <row r="5" spans="1:5" x14ac:dyDescent="0.25">
      <c r="A5" t="s">
        <v>6</v>
      </c>
      <c r="B5" t="s">
        <v>49</v>
      </c>
      <c r="C5" t="s">
        <v>23</v>
      </c>
      <c r="D5" s="43">
        <v>404561</v>
      </c>
      <c r="E5" s="43">
        <v>404561</v>
      </c>
    </row>
    <row r="6" spans="1:5" x14ac:dyDescent="0.25">
      <c r="A6" t="s">
        <v>6</v>
      </c>
      <c r="B6" t="s">
        <v>665</v>
      </c>
      <c r="C6" t="s">
        <v>22</v>
      </c>
      <c r="D6" s="43">
        <v>471908.45000000019</v>
      </c>
      <c r="E6" s="43">
        <v>0</v>
      </c>
    </row>
    <row r="7" spans="1:5" x14ac:dyDescent="0.25">
      <c r="A7" t="s">
        <v>6</v>
      </c>
      <c r="B7" t="s">
        <v>665</v>
      </c>
      <c r="C7" t="s">
        <v>23</v>
      </c>
      <c r="D7" s="43">
        <v>133395.21</v>
      </c>
      <c r="E7" s="43">
        <v>0</v>
      </c>
    </row>
    <row r="8" spans="1:5" x14ac:dyDescent="0.25">
      <c r="A8" t="s">
        <v>6</v>
      </c>
      <c r="B8" t="s">
        <v>41</v>
      </c>
      <c r="C8" t="s">
        <v>23</v>
      </c>
      <c r="D8" s="43">
        <v>48649.740000000005</v>
      </c>
      <c r="E8" s="43">
        <v>18282.400000000001</v>
      </c>
    </row>
    <row r="9" spans="1:5" x14ac:dyDescent="0.25">
      <c r="A9" t="s">
        <v>6</v>
      </c>
      <c r="B9" t="s">
        <v>35</v>
      </c>
      <c r="C9" t="s">
        <v>23</v>
      </c>
      <c r="D9" s="43">
        <v>643149.73</v>
      </c>
      <c r="E9" s="43">
        <v>-42169.7</v>
      </c>
    </row>
    <row r="10" spans="1:5" x14ac:dyDescent="0.25">
      <c r="A10" t="s">
        <v>6</v>
      </c>
      <c r="B10" t="s">
        <v>37</v>
      </c>
      <c r="C10" t="s">
        <v>23</v>
      </c>
      <c r="D10" s="43">
        <v>847872.76000000024</v>
      </c>
      <c r="E10" s="43">
        <v>832843.3400000002</v>
      </c>
    </row>
    <row r="11" spans="1:5" x14ac:dyDescent="0.25">
      <c r="A11" t="s">
        <v>6</v>
      </c>
      <c r="B11" t="s">
        <v>104</v>
      </c>
      <c r="C11" t="s">
        <v>23</v>
      </c>
      <c r="D11" s="43">
        <v>1451.22</v>
      </c>
      <c r="E11" s="43">
        <v>1451.22</v>
      </c>
    </row>
    <row r="12" spans="1:5" x14ac:dyDescent="0.25">
      <c r="A12" t="s">
        <v>6</v>
      </c>
      <c r="B12" t="s">
        <v>53</v>
      </c>
      <c r="C12" t="s">
        <v>23</v>
      </c>
      <c r="D12" s="43">
        <v>41613.520000000004</v>
      </c>
      <c r="E12" s="43">
        <v>41613.520000000004</v>
      </c>
    </row>
    <row r="13" spans="1:5" x14ac:dyDescent="0.25">
      <c r="A13" t="s">
        <v>6</v>
      </c>
      <c r="B13" t="s">
        <v>31</v>
      </c>
      <c r="C13" t="s">
        <v>23</v>
      </c>
      <c r="D13" s="43">
        <v>3660324.1900000004</v>
      </c>
      <c r="E13" s="43">
        <v>643063.05000000005</v>
      </c>
    </row>
    <row r="14" spans="1:5" x14ac:dyDescent="0.25">
      <c r="A14" t="s">
        <v>6</v>
      </c>
      <c r="B14" t="s">
        <v>70</v>
      </c>
      <c r="C14" t="s">
        <v>23</v>
      </c>
      <c r="D14" s="43">
        <v>6161.7000000000007</v>
      </c>
      <c r="E14" s="43">
        <v>6161.7000000000007</v>
      </c>
    </row>
    <row r="15" spans="1:5" x14ac:dyDescent="0.25">
      <c r="A15" t="s">
        <v>6</v>
      </c>
      <c r="B15" t="s">
        <v>80</v>
      </c>
      <c r="C15" t="s">
        <v>23</v>
      </c>
      <c r="D15" s="43">
        <v>967230.41999999993</v>
      </c>
      <c r="E15" s="43">
        <v>343544.59</v>
      </c>
    </row>
    <row r="16" spans="1:5" x14ac:dyDescent="0.25">
      <c r="A16" t="s">
        <v>6</v>
      </c>
      <c r="B16" t="s">
        <v>781</v>
      </c>
      <c r="C16" t="s">
        <v>23</v>
      </c>
      <c r="D16" s="43">
        <v>557030.68999999994</v>
      </c>
      <c r="E16" s="43">
        <v>0</v>
      </c>
    </row>
    <row r="17" spans="1:5" x14ac:dyDescent="0.25">
      <c r="A17" t="s">
        <v>6</v>
      </c>
      <c r="B17" t="s">
        <v>78</v>
      </c>
      <c r="C17" t="s">
        <v>23</v>
      </c>
      <c r="D17" s="43">
        <v>296122.23</v>
      </c>
      <c r="E17" s="43">
        <v>0</v>
      </c>
    </row>
    <row r="18" spans="1:5" x14ac:dyDescent="0.25">
      <c r="A18" t="s">
        <v>6</v>
      </c>
      <c r="B18" t="s">
        <v>100</v>
      </c>
      <c r="C18" t="s">
        <v>23</v>
      </c>
      <c r="D18" s="43">
        <v>3513.25</v>
      </c>
      <c r="E18" s="43">
        <v>0</v>
      </c>
    </row>
    <row r="19" spans="1:5" x14ac:dyDescent="0.25">
      <c r="A19" t="s">
        <v>6</v>
      </c>
      <c r="B19" t="s">
        <v>57</v>
      </c>
      <c r="C19" t="s">
        <v>23</v>
      </c>
      <c r="D19" s="43">
        <v>2379977.9400000004</v>
      </c>
      <c r="E19" s="43">
        <v>2379977.9400000004</v>
      </c>
    </row>
    <row r="20" spans="1:5" x14ac:dyDescent="0.25">
      <c r="A20" t="s">
        <v>6</v>
      </c>
      <c r="B20" t="s">
        <v>47</v>
      </c>
      <c r="C20" t="s">
        <v>23</v>
      </c>
      <c r="D20" s="43">
        <v>35363.760000000002</v>
      </c>
      <c r="E20" s="43">
        <v>0</v>
      </c>
    </row>
    <row r="21" spans="1:5" x14ac:dyDescent="0.25">
      <c r="A21" t="s">
        <v>7</v>
      </c>
      <c r="B21" t="s">
        <v>426</v>
      </c>
      <c r="C21" t="s">
        <v>22</v>
      </c>
      <c r="D21" s="43">
        <v>1558951.5600000003</v>
      </c>
      <c r="E21" s="43">
        <v>1476609.5100000002</v>
      </c>
    </row>
    <row r="22" spans="1:5" x14ac:dyDescent="0.25">
      <c r="A22" t="s">
        <v>7</v>
      </c>
      <c r="B22" t="s">
        <v>519</v>
      </c>
      <c r="C22" t="s">
        <v>22</v>
      </c>
      <c r="D22" s="43">
        <v>970254.6</v>
      </c>
      <c r="E22" s="43">
        <v>5997.6</v>
      </c>
    </row>
    <row r="23" spans="1:5" x14ac:dyDescent="0.25">
      <c r="A23" t="s">
        <v>7</v>
      </c>
      <c r="B23" t="s">
        <v>323</v>
      </c>
      <c r="C23" t="s">
        <v>22</v>
      </c>
      <c r="D23" s="43">
        <v>-1654.1</v>
      </c>
      <c r="E23" s="43">
        <v>-1654.1</v>
      </c>
    </row>
    <row r="24" spans="1:5" x14ac:dyDescent="0.25">
      <c r="A24" t="s">
        <v>7</v>
      </c>
      <c r="B24" t="s">
        <v>306</v>
      </c>
      <c r="C24" t="s">
        <v>22</v>
      </c>
      <c r="D24" s="43">
        <v>381686.08999999997</v>
      </c>
      <c r="E24" s="43">
        <v>379373.75999999995</v>
      </c>
    </row>
    <row r="25" spans="1:5" x14ac:dyDescent="0.25">
      <c r="A25" t="s">
        <v>7</v>
      </c>
      <c r="B25" t="s">
        <v>138</v>
      </c>
      <c r="C25" t="s">
        <v>22</v>
      </c>
      <c r="D25" s="43">
        <v>3167682.1199999992</v>
      </c>
      <c r="E25" s="43">
        <v>484083.15000000061</v>
      </c>
    </row>
    <row r="26" spans="1:5" x14ac:dyDescent="0.25">
      <c r="A26" t="s">
        <v>7</v>
      </c>
      <c r="B26" t="s">
        <v>313</v>
      </c>
      <c r="C26" t="s">
        <v>22</v>
      </c>
      <c r="D26" s="43">
        <v>133358.78</v>
      </c>
      <c r="E26" s="43">
        <v>183.37</v>
      </c>
    </row>
    <row r="27" spans="1:5" x14ac:dyDescent="0.25">
      <c r="A27" t="s">
        <v>7</v>
      </c>
      <c r="B27" t="s">
        <v>461</v>
      </c>
      <c r="C27" t="s">
        <v>22</v>
      </c>
      <c r="D27" s="43">
        <v>2623687.8100000005</v>
      </c>
      <c r="E27" s="43">
        <v>2435040.64</v>
      </c>
    </row>
    <row r="28" spans="1:5" x14ac:dyDescent="0.25">
      <c r="A28" t="s">
        <v>7</v>
      </c>
      <c r="B28" t="s">
        <v>326</v>
      </c>
      <c r="C28" t="s">
        <v>22</v>
      </c>
      <c r="D28" s="43">
        <v>863283.16999999993</v>
      </c>
      <c r="E28" s="43">
        <v>857101.8</v>
      </c>
    </row>
    <row r="29" spans="1:5" x14ac:dyDescent="0.25">
      <c r="A29" t="s">
        <v>7</v>
      </c>
      <c r="B29" t="s">
        <v>464</v>
      </c>
      <c r="C29" t="s">
        <v>22</v>
      </c>
      <c r="D29" s="43">
        <v>123867.82000000004</v>
      </c>
      <c r="E29" s="43">
        <v>3667.2600000000311</v>
      </c>
    </row>
    <row r="30" spans="1:5" x14ac:dyDescent="0.25">
      <c r="A30" t="s">
        <v>7</v>
      </c>
      <c r="B30" t="s">
        <v>311</v>
      </c>
      <c r="C30" t="s">
        <v>22</v>
      </c>
      <c r="D30" s="43">
        <v>877578.49999999977</v>
      </c>
      <c r="E30" s="43">
        <v>877578.49999999977</v>
      </c>
    </row>
    <row r="31" spans="1:5" x14ac:dyDescent="0.25">
      <c r="A31" t="s">
        <v>7</v>
      </c>
      <c r="B31" t="s">
        <v>527</v>
      </c>
      <c r="C31" t="s">
        <v>22</v>
      </c>
      <c r="D31" s="43">
        <v>14.84</v>
      </c>
      <c r="E31" s="43">
        <v>0</v>
      </c>
    </row>
    <row r="32" spans="1:5" x14ac:dyDescent="0.25">
      <c r="A32" t="s">
        <v>7</v>
      </c>
      <c r="B32" t="s">
        <v>410</v>
      </c>
      <c r="C32" t="s">
        <v>22</v>
      </c>
      <c r="D32" s="43">
        <v>-35740.189999999988</v>
      </c>
      <c r="E32" s="43">
        <v>-35740.189999999988</v>
      </c>
    </row>
    <row r="33" spans="1:5" x14ac:dyDescent="0.25">
      <c r="A33" t="s">
        <v>7</v>
      </c>
      <c r="B33" t="s">
        <v>501</v>
      </c>
      <c r="C33" t="s">
        <v>22</v>
      </c>
      <c r="D33" s="43">
        <v>339985.88</v>
      </c>
      <c r="E33" s="43">
        <v>278638.18</v>
      </c>
    </row>
    <row r="34" spans="1:5" x14ac:dyDescent="0.25">
      <c r="A34" t="s">
        <v>7</v>
      </c>
      <c r="B34" t="s">
        <v>279</v>
      </c>
      <c r="C34" t="s">
        <v>22</v>
      </c>
      <c r="D34" s="43">
        <v>1551286.71</v>
      </c>
      <c r="E34" s="43">
        <v>1504441.5999999999</v>
      </c>
    </row>
    <row r="35" spans="1:5" x14ac:dyDescent="0.25">
      <c r="A35" t="s">
        <v>7</v>
      </c>
      <c r="B35" t="s">
        <v>439</v>
      </c>
      <c r="C35" t="s">
        <v>22</v>
      </c>
      <c r="D35" s="43">
        <v>19504.099999999999</v>
      </c>
      <c r="E35" s="43">
        <v>0</v>
      </c>
    </row>
    <row r="36" spans="1:5" x14ac:dyDescent="0.25">
      <c r="A36" t="s">
        <v>7</v>
      </c>
      <c r="B36" t="s">
        <v>498</v>
      </c>
      <c r="C36" t="s">
        <v>22</v>
      </c>
      <c r="D36" s="43">
        <v>-1504962.3</v>
      </c>
      <c r="E36" s="43">
        <v>-1504962.3</v>
      </c>
    </row>
    <row r="37" spans="1:5" x14ac:dyDescent="0.25">
      <c r="A37" t="s">
        <v>7</v>
      </c>
      <c r="B37" t="s">
        <v>318</v>
      </c>
      <c r="C37" t="s">
        <v>22</v>
      </c>
      <c r="D37" s="43">
        <v>42578.2</v>
      </c>
      <c r="E37" s="43">
        <v>42578.2</v>
      </c>
    </row>
    <row r="38" spans="1:5" x14ac:dyDescent="0.25">
      <c r="A38" t="s">
        <v>7</v>
      </c>
      <c r="B38" t="s">
        <v>296</v>
      </c>
      <c r="C38" t="s">
        <v>22</v>
      </c>
      <c r="D38" s="43">
        <v>10286.219999999999</v>
      </c>
      <c r="E38" s="43">
        <v>-423.78</v>
      </c>
    </row>
    <row r="39" spans="1:5" x14ac:dyDescent="0.25">
      <c r="A39" t="s">
        <v>7</v>
      </c>
      <c r="B39" t="s">
        <v>277</v>
      </c>
      <c r="C39" t="s">
        <v>22</v>
      </c>
      <c r="D39" s="43">
        <v>170975.35999999999</v>
      </c>
      <c r="E39" s="43">
        <v>-71535.03</v>
      </c>
    </row>
    <row r="40" spans="1:5" x14ac:dyDescent="0.25">
      <c r="A40" t="s">
        <v>7</v>
      </c>
      <c r="B40" t="s">
        <v>330</v>
      </c>
      <c r="C40" t="s">
        <v>22</v>
      </c>
      <c r="D40" s="43">
        <v>589467.98</v>
      </c>
      <c r="E40" s="43">
        <v>-6693.8</v>
      </c>
    </row>
    <row r="41" spans="1:5" x14ac:dyDescent="0.25">
      <c r="A41" t="s">
        <v>7</v>
      </c>
      <c r="B41" t="s">
        <v>543</v>
      </c>
      <c r="C41" t="s">
        <v>22</v>
      </c>
      <c r="D41" s="43">
        <v>8246.7000000000007</v>
      </c>
      <c r="E41" s="43">
        <v>8246.7000000000007</v>
      </c>
    </row>
    <row r="42" spans="1:5" x14ac:dyDescent="0.25">
      <c r="A42" t="s">
        <v>7</v>
      </c>
      <c r="B42" t="s">
        <v>529</v>
      </c>
      <c r="C42" t="s">
        <v>22</v>
      </c>
      <c r="D42" s="43">
        <v>1615067.8499999996</v>
      </c>
      <c r="E42" s="43">
        <v>25674.900000000038</v>
      </c>
    </row>
    <row r="43" spans="1:5" x14ac:dyDescent="0.25">
      <c r="A43" t="s">
        <v>7</v>
      </c>
      <c r="B43" t="s">
        <v>459</v>
      </c>
      <c r="C43" t="s">
        <v>22</v>
      </c>
      <c r="D43" s="43">
        <v>117325.53</v>
      </c>
      <c r="E43" s="43">
        <v>0</v>
      </c>
    </row>
    <row r="44" spans="1:5" x14ac:dyDescent="0.25">
      <c r="A44" t="s">
        <v>7</v>
      </c>
      <c r="B44" t="s">
        <v>1546</v>
      </c>
      <c r="C44" t="s">
        <v>22</v>
      </c>
      <c r="D44" s="43">
        <v>177233.72</v>
      </c>
      <c r="E44" s="43">
        <v>177233.72</v>
      </c>
    </row>
    <row r="45" spans="1:5" x14ac:dyDescent="0.25">
      <c r="A45" t="s">
        <v>7</v>
      </c>
      <c r="B45" t="s">
        <v>227</v>
      </c>
      <c r="C45" t="s">
        <v>22</v>
      </c>
      <c r="D45" s="43">
        <v>7538659.4499999993</v>
      </c>
      <c r="E45" s="43">
        <v>174770.99000000005</v>
      </c>
    </row>
    <row r="46" spans="1:5" x14ac:dyDescent="0.25">
      <c r="A46" t="s">
        <v>7</v>
      </c>
      <c r="B46" t="s">
        <v>640</v>
      </c>
      <c r="C46" t="s">
        <v>22</v>
      </c>
      <c r="D46" s="43">
        <v>1499.4</v>
      </c>
      <c r="E46" s="43">
        <v>0</v>
      </c>
    </row>
    <row r="47" spans="1:5" x14ac:dyDescent="0.25">
      <c r="A47" t="s">
        <v>7</v>
      </c>
      <c r="B47" t="s">
        <v>432</v>
      </c>
      <c r="C47" t="s">
        <v>22</v>
      </c>
      <c r="D47" s="43">
        <v>86818.960000000079</v>
      </c>
      <c r="E47" s="43">
        <v>-972150.39</v>
      </c>
    </row>
    <row r="48" spans="1:5" x14ac:dyDescent="0.25">
      <c r="A48" t="s">
        <v>7</v>
      </c>
      <c r="B48" t="s">
        <v>408</v>
      </c>
      <c r="C48" t="s">
        <v>22</v>
      </c>
      <c r="D48" s="43">
        <v>1720768.4899999998</v>
      </c>
      <c r="E48" s="43">
        <v>1101842.5199999998</v>
      </c>
    </row>
    <row r="49" spans="1:5" x14ac:dyDescent="0.25">
      <c r="A49" t="s">
        <v>7</v>
      </c>
      <c r="B49" t="s">
        <v>267</v>
      </c>
      <c r="C49" t="s">
        <v>22</v>
      </c>
      <c r="D49" s="43">
        <v>889269.69000000006</v>
      </c>
      <c r="E49" s="43">
        <v>60256.130000000005</v>
      </c>
    </row>
    <row r="50" spans="1:5" x14ac:dyDescent="0.25">
      <c r="A50" t="s">
        <v>7</v>
      </c>
      <c r="B50" t="s">
        <v>441</v>
      </c>
      <c r="C50" t="s">
        <v>22</v>
      </c>
      <c r="D50" s="43">
        <v>79759.76999999999</v>
      </c>
      <c r="E50" s="43">
        <v>16401.18</v>
      </c>
    </row>
    <row r="51" spans="1:5" x14ac:dyDescent="0.25">
      <c r="A51" t="s">
        <v>8</v>
      </c>
      <c r="B51" t="s">
        <v>8</v>
      </c>
      <c r="C51" t="s">
        <v>8</v>
      </c>
      <c r="D51" s="43"/>
      <c r="E51" s="43">
        <v>0</v>
      </c>
    </row>
    <row r="52" spans="1:5" x14ac:dyDescent="0.25">
      <c r="A52" t="s">
        <v>118</v>
      </c>
      <c r="B52" t="s">
        <v>120</v>
      </c>
      <c r="C52" t="s">
        <v>22</v>
      </c>
      <c r="D52" s="43">
        <v>145216.68999999994</v>
      </c>
      <c r="E52" s="43">
        <v>0</v>
      </c>
    </row>
  </sheetData>
  <conditionalFormatting sqref="D68:D1048576 D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E1 D53:E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E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176CE-6E7D-4E9D-9125-0794C09D4E4D}">
  <sheetPr codeName="Sheet5">
    <tabColor rgb="FFFFFF00"/>
  </sheetPr>
  <dimension ref="A1:M1591"/>
  <sheetViews>
    <sheetView zoomScale="85" zoomScaleNormal="85" workbookViewId="0">
      <pane ySplit="1" topLeftCell="A860" activePane="bottomLeft" state="frozen"/>
      <selection activeCell="D22" sqref="D22"/>
      <selection pane="bottomLeft" activeCell="M2" sqref="M2:M1209"/>
    </sheetView>
  </sheetViews>
  <sheetFormatPr defaultRowHeight="15" x14ac:dyDescent="0.25"/>
  <cols>
    <col min="1" max="1" width="13" style="2" bestFit="1" customWidth="1"/>
    <col min="2" max="2" width="17" style="2" bestFit="1" customWidth="1"/>
    <col min="3" max="3" width="40" style="2" bestFit="1" customWidth="1"/>
    <col min="4" max="4" width="16" style="2" bestFit="1" customWidth="1"/>
    <col min="5" max="5" width="21" style="2" bestFit="1" customWidth="1"/>
    <col min="6" max="6" width="14" style="2" bestFit="1" customWidth="1"/>
    <col min="7" max="7" width="13" style="2" bestFit="1" customWidth="1"/>
    <col min="8" max="8" width="14" style="2" bestFit="1" customWidth="1"/>
    <col min="9" max="9" width="16" style="2" bestFit="1" customWidth="1"/>
    <col min="10" max="10" width="13" style="2" bestFit="1" customWidth="1"/>
    <col min="11" max="11" width="51" style="2" bestFit="1" customWidth="1"/>
    <col min="12" max="12" width="16" style="2" bestFit="1" customWidth="1"/>
    <col min="13" max="16384" width="9.140625" style="2"/>
  </cols>
  <sheetData>
    <row r="1" spans="1:13" x14ac:dyDescent="0.25">
      <c r="A1" s="7" t="s">
        <v>9</v>
      </c>
      <c r="B1" s="7" t="s">
        <v>10</v>
      </c>
      <c r="C1" s="7" t="s">
        <v>11</v>
      </c>
      <c r="D1" s="7" t="s">
        <v>12</v>
      </c>
      <c r="E1" s="7" t="s">
        <v>13</v>
      </c>
      <c r="F1" s="7" t="s">
        <v>14</v>
      </c>
      <c r="G1" s="7" t="s">
        <v>15</v>
      </c>
      <c r="H1" s="7" t="s">
        <v>16</v>
      </c>
      <c r="I1" s="7" t="s">
        <v>17</v>
      </c>
      <c r="J1" s="7" t="s">
        <v>18</v>
      </c>
      <c r="K1" s="7" t="s">
        <v>19</v>
      </c>
      <c r="L1" s="7" t="s">
        <v>20</v>
      </c>
      <c r="M1" s="2" t="s">
        <v>26</v>
      </c>
    </row>
    <row r="2" spans="1:13" x14ac:dyDescent="0.25">
      <c r="A2" s="6" t="s">
        <v>6</v>
      </c>
      <c r="B2" s="6" t="s">
        <v>664</v>
      </c>
      <c r="C2" s="6" t="s">
        <v>665</v>
      </c>
      <c r="D2" s="6" t="s">
        <v>666</v>
      </c>
      <c r="E2" s="6" t="s">
        <v>667</v>
      </c>
      <c r="F2" s="9">
        <v>45701</v>
      </c>
      <c r="G2" s="9">
        <v>45731</v>
      </c>
      <c r="H2" s="12">
        <v>-15</v>
      </c>
      <c r="I2" s="11">
        <v>100883.69</v>
      </c>
      <c r="J2" s="6" t="s">
        <v>23</v>
      </c>
      <c r="K2" s="6" t="s">
        <v>21</v>
      </c>
      <c r="L2" s="6" t="s">
        <v>21</v>
      </c>
      <c r="M2" s="2" t="str">
        <f>IF(H2&gt;0,I2,"")</f>
        <v/>
      </c>
    </row>
    <row r="3" spans="1:13" x14ac:dyDescent="0.25">
      <c r="A3" s="6" t="s">
        <v>6</v>
      </c>
      <c r="B3" s="6" t="s">
        <v>664</v>
      </c>
      <c r="C3" s="6" t="s">
        <v>665</v>
      </c>
      <c r="D3" s="6" t="s">
        <v>668</v>
      </c>
      <c r="E3" s="6" t="s">
        <v>669</v>
      </c>
      <c r="F3" s="9">
        <v>45701</v>
      </c>
      <c r="G3" s="9">
        <v>45731</v>
      </c>
      <c r="H3" s="12">
        <v>-15</v>
      </c>
      <c r="I3" s="11">
        <v>471908.45</v>
      </c>
      <c r="J3" s="6" t="s">
        <v>22</v>
      </c>
      <c r="K3" s="6" t="s">
        <v>21</v>
      </c>
      <c r="L3" s="6" t="s">
        <v>21</v>
      </c>
      <c r="M3" s="2" t="str">
        <f t="shared" ref="M3:M66" si="0">IF(H3&gt;0,I3,"")</f>
        <v/>
      </c>
    </row>
    <row r="4" spans="1:13" x14ac:dyDescent="0.25">
      <c r="A4" s="6" t="s">
        <v>6</v>
      </c>
      <c r="B4" s="6" t="s">
        <v>664</v>
      </c>
      <c r="C4" s="6" t="s">
        <v>665</v>
      </c>
      <c r="D4" s="6" t="s">
        <v>670</v>
      </c>
      <c r="E4" s="6" t="s">
        <v>671</v>
      </c>
      <c r="F4" s="9">
        <v>45693</v>
      </c>
      <c r="G4" s="9">
        <v>45723</v>
      </c>
      <c r="H4" s="12">
        <v>-7</v>
      </c>
      <c r="I4" s="11">
        <v>32511.52</v>
      </c>
      <c r="J4" s="6" t="s">
        <v>23</v>
      </c>
      <c r="K4" s="6" t="s">
        <v>21</v>
      </c>
      <c r="L4" s="6" t="s">
        <v>21</v>
      </c>
      <c r="M4" s="2" t="str">
        <f t="shared" si="0"/>
        <v/>
      </c>
    </row>
    <row r="5" spans="1:13" x14ac:dyDescent="0.25">
      <c r="A5" s="6" t="s">
        <v>6</v>
      </c>
      <c r="B5" s="6" t="s">
        <v>664</v>
      </c>
      <c r="C5" s="6" t="s">
        <v>665</v>
      </c>
      <c r="D5" s="6" t="s">
        <v>672</v>
      </c>
      <c r="E5" s="6" t="s">
        <v>673</v>
      </c>
      <c r="F5" s="9">
        <v>45715</v>
      </c>
      <c r="G5" s="9">
        <v>45745</v>
      </c>
      <c r="H5" s="12">
        <v>-29</v>
      </c>
      <c r="I5" s="11">
        <v>2374278.6800000006</v>
      </c>
      <c r="J5" s="6" t="s">
        <v>22</v>
      </c>
      <c r="K5" s="6" t="s">
        <v>21</v>
      </c>
      <c r="L5" s="6" t="s">
        <v>21</v>
      </c>
      <c r="M5" s="2" t="str">
        <f t="shared" si="0"/>
        <v/>
      </c>
    </row>
    <row r="6" spans="1:13" x14ac:dyDescent="0.25">
      <c r="A6" s="6" t="s">
        <v>6</v>
      </c>
      <c r="B6" s="6" t="s">
        <v>664</v>
      </c>
      <c r="C6" s="6" t="s">
        <v>665</v>
      </c>
      <c r="D6" s="6" t="s">
        <v>674</v>
      </c>
      <c r="E6" s="6" t="s">
        <v>675</v>
      </c>
      <c r="F6" s="9">
        <v>45715</v>
      </c>
      <c r="G6" s="9">
        <v>45745</v>
      </c>
      <c r="H6" s="12">
        <v>-29</v>
      </c>
      <c r="I6" s="13">
        <v>-2374278.6800000006</v>
      </c>
      <c r="J6" s="6" t="s">
        <v>22</v>
      </c>
      <c r="K6" s="6" t="s">
        <v>21</v>
      </c>
      <c r="L6" s="6" t="s">
        <v>21</v>
      </c>
      <c r="M6" s="2" t="str">
        <f t="shared" si="0"/>
        <v/>
      </c>
    </row>
    <row r="7" spans="1:13" x14ac:dyDescent="0.25">
      <c r="A7" s="6" t="s">
        <v>6</v>
      </c>
      <c r="B7" s="6" t="s">
        <v>30</v>
      </c>
      <c r="C7" s="6" t="s">
        <v>31</v>
      </c>
      <c r="D7" s="6" t="s">
        <v>32</v>
      </c>
      <c r="E7" s="6" t="s">
        <v>33</v>
      </c>
      <c r="F7" s="9">
        <v>45662</v>
      </c>
      <c r="G7" s="9">
        <v>45692</v>
      </c>
      <c r="H7" s="10">
        <v>24</v>
      </c>
      <c r="I7" s="11">
        <v>643063.05000000005</v>
      </c>
      <c r="J7" s="6" t="s">
        <v>23</v>
      </c>
      <c r="K7" s="6" t="s">
        <v>21</v>
      </c>
      <c r="L7" s="6" t="s">
        <v>21</v>
      </c>
      <c r="M7" s="2">
        <f t="shared" si="0"/>
        <v>643063.05000000005</v>
      </c>
    </row>
    <row r="8" spans="1:13" x14ac:dyDescent="0.25">
      <c r="A8" s="6" t="s">
        <v>6</v>
      </c>
      <c r="B8" s="6" t="s">
        <v>30</v>
      </c>
      <c r="C8" s="6" t="s">
        <v>31</v>
      </c>
      <c r="D8" s="6" t="s">
        <v>676</v>
      </c>
      <c r="E8" s="6" t="s">
        <v>677</v>
      </c>
      <c r="F8" s="9">
        <v>45702</v>
      </c>
      <c r="G8" s="9">
        <v>45732</v>
      </c>
      <c r="H8" s="12">
        <v>-16</v>
      </c>
      <c r="I8" s="11">
        <v>133835.65</v>
      </c>
      <c r="J8" s="6" t="s">
        <v>23</v>
      </c>
      <c r="K8" s="6" t="s">
        <v>21</v>
      </c>
      <c r="L8" s="6" t="s">
        <v>21</v>
      </c>
      <c r="M8" s="2" t="str">
        <f t="shared" si="0"/>
        <v/>
      </c>
    </row>
    <row r="9" spans="1:13" x14ac:dyDescent="0.25">
      <c r="A9" s="6" t="s">
        <v>6</v>
      </c>
      <c r="B9" s="6" t="s">
        <v>30</v>
      </c>
      <c r="C9" s="6" t="s">
        <v>31</v>
      </c>
      <c r="D9" s="6" t="s">
        <v>678</v>
      </c>
      <c r="E9" s="6" t="s">
        <v>679</v>
      </c>
      <c r="F9" s="9">
        <v>45702</v>
      </c>
      <c r="G9" s="9">
        <v>45747</v>
      </c>
      <c r="H9" s="12">
        <v>-31</v>
      </c>
      <c r="I9" s="11">
        <v>836077.87</v>
      </c>
      <c r="J9" s="6" t="s">
        <v>23</v>
      </c>
      <c r="K9" s="6" t="s">
        <v>21</v>
      </c>
      <c r="L9" s="6" t="s">
        <v>21</v>
      </c>
      <c r="M9" s="2" t="str">
        <f t="shared" si="0"/>
        <v/>
      </c>
    </row>
    <row r="10" spans="1:13" x14ac:dyDescent="0.25">
      <c r="A10" s="6" t="s">
        <v>6</v>
      </c>
      <c r="B10" s="6" t="s">
        <v>30</v>
      </c>
      <c r="C10" s="6" t="s">
        <v>31</v>
      </c>
      <c r="D10" s="6" t="s">
        <v>680</v>
      </c>
      <c r="E10" s="6" t="s">
        <v>681</v>
      </c>
      <c r="F10" s="9">
        <v>45712</v>
      </c>
      <c r="G10" s="9">
        <v>45742</v>
      </c>
      <c r="H10" s="12">
        <v>-26</v>
      </c>
      <c r="I10" s="11">
        <v>130159.98</v>
      </c>
      <c r="J10" s="6" t="s">
        <v>23</v>
      </c>
      <c r="K10" s="6" t="s">
        <v>21</v>
      </c>
      <c r="L10" s="6" t="s">
        <v>21</v>
      </c>
      <c r="M10" s="2" t="str">
        <f t="shared" si="0"/>
        <v/>
      </c>
    </row>
    <row r="11" spans="1:13" x14ac:dyDescent="0.25">
      <c r="A11" s="6" t="s">
        <v>6</v>
      </c>
      <c r="B11" s="6" t="s">
        <v>30</v>
      </c>
      <c r="C11" s="6" t="s">
        <v>31</v>
      </c>
      <c r="D11" s="6" t="s">
        <v>682</v>
      </c>
      <c r="E11" s="6" t="s">
        <v>683</v>
      </c>
      <c r="F11" s="9">
        <v>45712</v>
      </c>
      <c r="G11" s="9">
        <v>45742</v>
      </c>
      <c r="H11" s="12">
        <v>-26</v>
      </c>
      <c r="I11" s="11">
        <v>1822239.48</v>
      </c>
      <c r="J11" s="6" t="s">
        <v>23</v>
      </c>
      <c r="K11" s="6" t="s">
        <v>21</v>
      </c>
      <c r="L11" s="6" t="s">
        <v>21</v>
      </c>
      <c r="M11" s="2" t="str">
        <f t="shared" si="0"/>
        <v/>
      </c>
    </row>
    <row r="12" spans="1:13" x14ac:dyDescent="0.25">
      <c r="A12" s="6" t="s">
        <v>6</v>
      </c>
      <c r="B12" s="6" t="s">
        <v>30</v>
      </c>
      <c r="C12" s="6" t="s">
        <v>31</v>
      </c>
      <c r="D12" s="6" t="s">
        <v>684</v>
      </c>
      <c r="E12" s="6" t="s">
        <v>685</v>
      </c>
      <c r="F12" s="9">
        <v>45693</v>
      </c>
      <c r="G12" s="9">
        <v>45723</v>
      </c>
      <c r="H12" s="12">
        <v>-7</v>
      </c>
      <c r="I12" s="11">
        <v>28629.37</v>
      </c>
      <c r="J12" s="6" t="s">
        <v>23</v>
      </c>
      <c r="K12" s="6" t="s">
        <v>686</v>
      </c>
      <c r="L12" s="6" t="s">
        <v>21</v>
      </c>
      <c r="M12" s="2" t="str">
        <f t="shared" si="0"/>
        <v/>
      </c>
    </row>
    <row r="13" spans="1:13" x14ac:dyDescent="0.25">
      <c r="A13" s="6" t="s">
        <v>6</v>
      </c>
      <c r="B13" s="6" t="s">
        <v>30</v>
      </c>
      <c r="C13" s="6" t="s">
        <v>31</v>
      </c>
      <c r="D13" s="6" t="s">
        <v>687</v>
      </c>
      <c r="E13" s="6" t="s">
        <v>688</v>
      </c>
      <c r="F13" s="9">
        <v>45704</v>
      </c>
      <c r="G13" s="9">
        <v>45734</v>
      </c>
      <c r="H13" s="12">
        <v>-18</v>
      </c>
      <c r="I13" s="11">
        <v>3127.71</v>
      </c>
      <c r="J13" s="6" t="s">
        <v>23</v>
      </c>
      <c r="K13" s="6" t="s">
        <v>21</v>
      </c>
      <c r="L13" s="6" t="s">
        <v>21</v>
      </c>
      <c r="M13" s="2" t="str">
        <f t="shared" si="0"/>
        <v/>
      </c>
    </row>
    <row r="14" spans="1:13" x14ac:dyDescent="0.25">
      <c r="A14" s="6" t="s">
        <v>6</v>
      </c>
      <c r="B14" s="6" t="s">
        <v>30</v>
      </c>
      <c r="C14" s="6" t="s">
        <v>31</v>
      </c>
      <c r="D14" s="6" t="s">
        <v>689</v>
      </c>
      <c r="E14" s="6" t="s">
        <v>690</v>
      </c>
      <c r="F14" s="9">
        <v>45699</v>
      </c>
      <c r="G14" s="9">
        <v>45759</v>
      </c>
      <c r="H14" s="12">
        <v>-43</v>
      </c>
      <c r="I14" s="11">
        <v>63191.08</v>
      </c>
      <c r="J14" s="6" t="s">
        <v>23</v>
      </c>
      <c r="K14" s="6" t="s">
        <v>21</v>
      </c>
      <c r="L14" s="6" t="s">
        <v>21</v>
      </c>
      <c r="M14" s="2" t="str">
        <f t="shared" si="0"/>
        <v/>
      </c>
    </row>
    <row r="15" spans="1:13" x14ac:dyDescent="0.25">
      <c r="A15" s="6" t="s">
        <v>6</v>
      </c>
      <c r="B15" s="6" t="s">
        <v>34</v>
      </c>
      <c r="C15" s="6" t="s">
        <v>35</v>
      </c>
      <c r="D15" s="6" t="s">
        <v>691</v>
      </c>
      <c r="E15" s="6" t="s">
        <v>692</v>
      </c>
      <c r="F15" s="9">
        <v>45701</v>
      </c>
      <c r="G15" s="9">
        <v>45731</v>
      </c>
      <c r="H15" s="12">
        <v>-15</v>
      </c>
      <c r="I15" s="11">
        <v>92481.61</v>
      </c>
      <c r="J15" s="6" t="s">
        <v>23</v>
      </c>
      <c r="K15" s="6" t="s">
        <v>21</v>
      </c>
      <c r="L15" s="6" t="s">
        <v>21</v>
      </c>
      <c r="M15" s="2" t="str">
        <f t="shared" si="0"/>
        <v/>
      </c>
    </row>
    <row r="16" spans="1:13" x14ac:dyDescent="0.25">
      <c r="A16" s="6" t="s">
        <v>6</v>
      </c>
      <c r="B16" s="6" t="s">
        <v>34</v>
      </c>
      <c r="C16" s="6" t="s">
        <v>35</v>
      </c>
      <c r="D16" s="6" t="s">
        <v>693</v>
      </c>
      <c r="E16" s="6" t="s">
        <v>694</v>
      </c>
      <c r="F16" s="9">
        <v>45701</v>
      </c>
      <c r="G16" s="9">
        <v>45731</v>
      </c>
      <c r="H16" s="12">
        <v>-15</v>
      </c>
      <c r="I16" s="11">
        <v>576622.81999999995</v>
      </c>
      <c r="J16" s="6" t="s">
        <v>23</v>
      </c>
      <c r="K16" s="6" t="s">
        <v>21</v>
      </c>
      <c r="L16" s="6" t="s">
        <v>21</v>
      </c>
      <c r="M16" s="2" t="str">
        <f t="shared" si="0"/>
        <v/>
      </c>
    </row>
    <row r="17" spans="1:13" x14ac:dyDescent="0.25">
      <c r="A17" s="6" t="s">
        <v>6</v>
      </c>
      <c r="B17" s="6" t="s">
        <v>34</v>
      </c>
      <c r="C17" s="6" t="s">
        <v>35</v>
      </c>
      <c r="D17" s="6" t="s">
        <v>695</v>
      </c>
      <c r="E17" s="6" t="s">
        <v>696</v>
      </c>
      <c r="F17" s="9">
        <v>45707</v>
      </c>
      <c r="G17" s="9">
        <v>45707</v>
      </c>
      <c r="H17" s="10">
        <v>9</v>
      </c>
      <c r="I17" s="13">
        <v>-42169.7</v>
      </c>
      <c r="J17" s="6" t="s">
        <v>23</v>
      </c>
      <c r="K17" s="6" t="s">
        <v>21</v>
      </c>
      <c r="L17" s="6" t="s">
        <v>21</v>
      </c>
      <c r="M17" s="2">
        <f t="shared" si="0"/>
        <v>-42169.7</v>
      </c>
    </row>
    <row r="18" spans="1:13" x14ac:dyDescent="0.25">
      <c r="A18" s="6" t="s">
        <v>6</v>
      </c>
      <c r="B18" s="6" t="s">
        <v>34</v>
      </c>
      <c r="C18" s="6" t="s">
        <v>35</v>
      </c>
      <c r="D18" s="6" t="s">
        <v>697</v>
      </c>
      <c r="E18" s="6" t="s">
        <v>698</v>
      </c>
      <c r="F18" s="9">
        <v>45709</v>
      </c>
      <c r="G18" s="9">
        <v>45739</v>
      </c>
      <c r="H18" s="12">
        <v>-23</v>
      </c>
      <c r="I18" s="11">
        <v>16215</v>
      </c>
      <c r="J18" s="6" t="s">
        <v>23</v>
      </c>
      <c r="K18" s="6" t="s">
        <v>21</v>
      </c>
      <c r="L18" s="6" t="s">
        <v>21</v>
      </c>
      <c r="M18" s="2" t="str">
        <f t="shared" si="0"/>
        <v/>
      </c>
    </row>
    <row r="19" spans="1:13" x14ac:dyDescent="0.25">
      <c r="A19" s="6" t="s">
        <v>6</v>
      </c>
      <c r="B19" s="6" t="s">
        <v>36</v>
      </c>
      <c r="C19" s="6" t="s">
        <v>37</v>
      </c>
      <c r="D19" s="6" t="s">
        <v>38</v>
      </c>
      <c r="E19" s="6" t="s">
        <v>39</v>
      </c>
      <c r="F19" s="9">
        <v>45662</v>
      </c>
      <c r="G19" s="9">
        <v>45692</v>
      </c>
      <c r="H19" s="10">
        <v>24</v>
      </c>
      <c r="I19" s="11">
        <v>832843.3400000002</v>
      </c>
      <c r="J19" s="6" t="s">
        <v>23</v>
      </c>
      <c r="K19" s="6" t="s">
        <v>21</v>
      </c>
      <c r="L19" s="6" t="s">
        <v>21</v>
      </c>
      <c r="M19" s="2">
        <f t="shared" si="0"/>
        <v>832843.3400000002</v>
      </c>
    </row>
    <row r="20" spans="1:13" x14ac:dyDescent="0.25">
      <c r="A20" s="6" t="s">
        <v>6</v>
      </c>
      <c r="B20" s="6" t="s">
        <v>36</v>
      </c>
      <c r="C20" s="6" t="s">
        <v>37</v>
      </c>
      <c r="D20" s="6" t="s">
        <v>699</v>
      </c>
      <c r="E20" s="6" t="s">
        <v>700</v>
      </c>
      <c r="F20" s="9">
        <v>45695</v>
      </c>
      <c r="G20" s="9">
        <v>45725</v>
      </c>
      <c r="H20" s="12">
        <v>-9</v>
      </c>
      <c r="I20" s="11">
        <v>15029.42</v>
      </c>
      <c r="J20" s="6" t="s">
        <v>23</v>
      </c>
      <c r="K20" s="6" t="s">
        <v>21</v>
      </c>
      <c r="L20" s="6" t="s">
        <v>21</v>
      </c>
      <c r="M20" s="2" t="str">
        <f t="shared" si="0"/>
        <v/>
      </c>
    </row>
    <row r="21" spans="1:13" x14ac:dyDescent="0.25">
      <c r="A21" s="6" t="s">
        <v>6</v>
      </c>
      <c r="B21" s="6" t="s">
        <v>40</v>
      </c>
      <c r="C21" s="6" t="s">
        <v>41</v>
      </c>
      <c r="D21" s="6" t="s">
        <v>701</v>
      </c>
      <c r="E21" s="6" t="s">
        <v>702</v>
      </c>
      <c r="F21" s="9">
        <v>45693</v>
      </c>
      <c r="G21" s="9">
        <v>45723</v>
      </c>
      <c r="H21" s="12">
        <v>-7</v>
      </c>
      <c r="I21" s="11">
        <v>1845.14</v>
      </c>
      <c r="J21" s="6" t="s">
        <v>23</v>
      </c>
      <c r="K21" s="6" t="s">
        <v>21</v>
      </c>
      <c r="L21" s="6" t="s">
        <v>21</v>
      </c>
      <c r="M21" s="2" t="str">
        <f t="shared" si="0"/>
        <v/>
      </c>
    </row>
    <row r="22" spans="1:13" x14ac:dyDescent="0.25">
      <c r="A22" s="6" t="s">
        <v>6</v>
      </c>
      <c r="B22" s="6" t="s">
        <v>40</v>
      </c>
      <c r="C22" s="6" t="s">
        <v>41</v>
      </c>
      <c r="D22" s="6" t="s">
        <v>42</v>
      </c>
      <c r="E22" s="6" t="s">
        <v>43</v>
      </c>
      <c r="F22" s="9">
        <v>45653</v>
      </c>
      <c r="G22" s="9">
        <v>45683</v>
      </c>
      <c r="H22" s="10">
        <v>33</v>
      </c>
      <c r="I22" s="11">
        <v>18282.400000000001</v>
      </c>
      <c r="J22" s="6" t="s">
        <v>23</v>
      </c>
      <c r="K22" s="6" t="s">
        <v>44</v>
      </c>
      <c r="L22" s="6" t="s">
        <v>21</v>
      </c>
      <c r="M22" s="2">
        <f t="shared" si="0"/>
        <v>18282.400000000001</v>
      </c>
    </row>
    <row r="23" spans="1:13" x14ac:dyDescent="0.25">
      <c r="A23" s="6" t="s">
        <v>6</v>
      </c>
      <c r="B23" s="6" t="s">
        <v>40</v>
      </c>
      <c r="C23" s="6" t="s">
        <v>41</v>
      </c>
      <c r="D23" s="6" t="s">
        <v>703</v>
      </c>
      <c r="E23" s="6" t="s">
        <v>704</v>
      </c>
      <c r="F23" s="9">
        <v>45705</v>
      </c>
      <c r="G23" s="9">
        <v>45735</v>
      </c>
      <c r="H23" s="12">
        <v>-19</v>
      </c>
      <c r="I23" s="11">
        <v>28522.2</v>
      </c>
      <c r="J23" s="6" t="s">
        <v>23</v>
      </c>
      <c r="K23" s="6" t="s">
        <v>45</v>
      </c>
      <c r="L23" s="6" t="s">
        <v>21</v>
      </c>
      <c r="M23" s="2" t="str">
        <f t="shared" si="0"/>
        <v/>
      </c>
    </row>
    <row r="24" spans="1:13" x14ac:dyDescent="0.25">
      <c r="A24" s="6" t="s">
        <v>6</v>
      </c>
      <c r="B24" s="6" t="s">
        <v>46</v>
      </c>
      <c r="C24" s="6" t="s">
        <v>47</v>
      </c>
      <c r="D24" s="6" t="s">
        <v>705</v>
      </c>
      <c r="E24" s="6" t="s">
        <v>706</v>
      </c>
      <c r="F24" s="9">
        <v>45688</v>
      </c>
      <c r="G24" s="9">
        <v>45718</v>
      </c>
      <c r="H24" s="12">
        <v>-2</v>
      </c>
      <c r="I24" s="11">
        <v>25944.16</v>
      </c>
      <c r="J24" s="6" t="s">
        <v>23</v>
      </c>
      <c r="K24" s="6" t="s">
        <v>21</v>
      </c>
      <c r="L24" s="6" t="s">
        <v>21</v>
      </c>
      <c r="M24" s="2" t="str">
        <f t="shared" si="0"/>
        <v/>
      </c>
    </row>
    <row r="25" spans="1:13" x14ac:dyDescent="0.25">
      <c r="A25" s="6" t="s">
        <v>6</v>
      </c>
      <c r="B25" s="6" t="s">
        <v>46</v>
      </c>
      <c r="C25" s="6" t="s">
        <v>47</v>
      </c>
      <c r="D25" s="6" t="s">
        <v>707</v>
      </c>
      <c r="E25" s="6" t="s">
        <v>708</v>
      </c>
      <c r="F25" s="9">
        <v>45693</v>
      </c>
      <c r="G25" s="9">
        <v>45723</v>
      </c>
      <c r="H25" s="12">
        <v>-7</v>
      </c>
      <c r="I25" s="11">
        <v>9419.6</v>
      </c>
      <c r="J25" s="6" t="s">
        <v>23</v>
      </c>
      <c r="K25" s="6" t="s">
        <v>21</v>
      </c>
      <c r="L25" s="6" t="s">
        <v>21</v>
      </c>
      <c r="M25" s="2" t="str">
        <f t="shared" si="0"/>
        <v/>
      </c>
    </row>
    <row r="26" spans="1:13" x14ac:dyDescent="0.25">
      <c r="A26" s="6" t="s">
        <v>6</v>
      </c>
      <c r="B26" s="6" t="s">
        <v>548</v>
      </c>
      <c r="C26" s="6" t="s">
        <v>68</v>
      </c>
      <c r="D26" s="6" t="s">
        <v>549</v>
      </c>
      <c r="E26" s="6" t="s">
        <v>550</v>
      </c>
      <c r="F26" s="9">
        <v>45685</v>
      </c>
      <c r="G26" s="9">
        <v>45730</v>
      </c>
      <c r="H26" s="12">
        <v>-14</v>
      </c>
      <c r="I26" s="11">
        <v>2180.12</v>
      </c>
      <c r="J26" s="6" t="s">
        <v>23</v>
      </c>
      <c r="K26" s="6" t="s">
        <v>21</v>
      </c>
      <c r="L26" s="6" t="s">
        <v>21</v>
      </c>
      <c r="M26" s="2" t="str">
        <f t="shared" si="0"/>
        <v/>
      </c>
    </row>
    <row r="27" spans="1:13" x14ac:dyDescent="0.25">
      <c r="A27" s="6" t="s">
        <v>6</v>
      </c>
      <c r="B27" s="6" t="s">
        <v>548</v>
      </c>
      <c r="C27" s="6" t="s">
        <v>68</v>
      </c>
      <c r="D27" s="6" t="s">
        <v>709</v>
      </c>
      <c r="E27" s="6" t="s">
        <v>710</v>
      </c>
      <c r="F27" s="9">
        <v>45688</v>
      </c>
      <c r="G27" s="9">
        <v>45718</v>
      </c>
      <c r="H27" s="12">
        <v>-2</v>
      </c>
      <c r="I27" s="11">
        <v>532.31999999999994</v>
      </c>
      <c r="J27" s="6" t="s">
        <v>23</v>
      </c>
      <c r="K27" s="6" t="s">
        <v>21</v>
      </c>
      <c r="L27" s="6" t="s">
        <v>21</v>
      </c>
      <c r="M27" s="2" t="str">
        <f t="shared" si="0"/>
        <v/>
      </c>
    </row>
    <row r="28" spans="1:13" x14ac:dyDescent="0.25">
      <c r="A28" s="6" t="s">
        <v>6</v>
      </c>
      <c r="B28" s="6" t="s">
        <v>548</v>
      </c>
      <c r="C28" s="6" t="s">
        <v>68</v>
      </c>
      <c r="D28" s="6" t="s">
        <v>711</v>
      </c>
      <c r="E28" s="6" t="s">
        <v>712</v>
      </c>
      <c r="F28" s="9">
        <v>45699</v>
      </c>
      <c r="G28" s="9">
        <v>45729</v>
      </c>
      <c r="H28" s="12">
        <v>-13</v>
      </c>
      <c r="I28" s="11">
        <v>64456.4</v>
      </c>
      <c r="J28" s="6" t="s">
        <v>23</v>
      </c>
      <c r="K28" s="6" t="s">
        <v>21</v>
      </c>
      <c r="L28" s="6" t="s">
        <v>21</v>
      </c>
      <c r="M28" s="2" t="str">
        <f t="shared" si="0"/>
        <v/>
      </c>
    </row>
    <row r="29" spans="1:13" x14ac:dyDescent="0.25">
      <c r="A29" s="6" t="s">
        <v>6</v>
      </c>
      <c r="B29" s="6" t="s">
        <v>548</v>
      </c>
      <c r="C29" s="6" t="s">
        <v>68</v>
      </c>
      <c r="D29" s="6" t="s">
        <v>713</v>
      </c>
      <c r="E29" s="6" t="s">
        <v>714</v>
      </c>
      <c r="F29" s="9">
        <v>45699</v>
      </c>
      <c r="G29" s="9">
        <v>45729</v>
      </c>
      <c r="H29" s="12">
        <v>-13</v>
      </c>
      <c r="I29" s="11">
        <v>521.75</v>
      </c>
      <c r="J29" s="6" t="s">
        <v>23</v>
      </c>
      <c r="K29" s="6" t="s">
        <v>21</v>
      </c>
      <c r="L29" s="6" t="s">
        <v>21</v>
      </c>
      <c r="M29" s="2" t="str">
        <f t="shared" si="0"/>
        <v/>
      </c>
    </row>
    <row r="30" spans="1:13" x14ac:dyDescent="0.25">
      <c r="A30" s="6" t="s">
        <v>6</v>
      </c>
      <c r="B30" s="6" t="s">
        <v>48</v>
      </c>
      <c r="C30" s="6" t="s">
        <v>49</v>
      </c>
      <c r="D30" s="6" t="s">
        <v>50</v>
      </c>
      <c r="E30" s="6" t="s">
        <v>51</v>
      </c>
      <c r="F30" s="9">
        <v>45662</v>
      </c>
      <c r="G30" s="9">
        <v>45692</v>
      </c>
      <c r="H30" s="10">
        <v>24</v>
      </c>
      <c r="I30" s="11">
        <v>84605.450000000012</v>
      </c>
      <c r="J30" s="6" t="s">
        <v>23</v>
      </c>
      <c r="K30" s="6" t="s">
        <v>21</v>
      </c>
      <c r="L30" s="6" t="s">
        <v>21</v>
      </c>
      <c r="M30" s="2">
        <f t="shared" si="0"/>
        <v>84605.450000000012</v>
      </c>
    </row>
    <row r="31" spans="1:13" x14ac:dyDescent="0.25">
      <c r="A31" s="6" t="s">
        <v>6</v>
      </c>
      <c r="B31" s="6" t="s">
        <v>48</v>
      </c>
      <c r="C31" s="6" t="s">
        <v>49</v>
      </c>
      <c r="D31" s="6" t="s">
        <v>551</v>
      </c>
      <c r="E31" s="6" t="s">
        <v>552</v>
      </c>
      <c r="F31" s="9">
        <v>45685</v>
      </c>
      <c r="G31" s="9">
        <v>45715</v>
      </c>
      <c r="H31" s="10">
        <v>1</v>
      </c>
      <c r="I31" s="11">
        <v>294397.09000000003</v>
      </c>
      <c r="J31" s="6" t="s">
        <v>23</v>
      </c>
      <c r="K31" s="6" t="s">
        <v>21</v>
      </c>
      <c r="L31" s="6" t="s">
        <v>21</v>
      </c>
      <c r="M31" s="2">
        <f t="shared" si="0"/>
        <v>294397.09000000003</v>
      </c>
    </row>
    <row r="32" spans="1:13" x14ac:dyDescent="0.25">
      <c r="A32" s="6" t="s">
        <v>6</v>
      </c>
      <c r="B32" s="6" t="s">
        <v>48</v>
      </c>
      <c r="C32" s="6" t="s">
        <v>49</v>
      </c>
      <c r="D32" s="6" t="s">
        <v>553</v>
      </c>
      <c r="E32" s="6" t="s">
        <v>554</v>
      </c>
      <c r="F32" s="9">
        <v>45685</v>
      </c>
      <c r="G32" s="9">
        <v>45715</v>
      </c>
      <c r="H32" s="10">
        <v>1</v>
      </c>
      <c r="I32" s="11">
        <v>9577.61</v>
      </c>
      <c r="J32" s="6" t="s">
        <v>23</v>
      </c>
      <c r="K32" s="6" t="s">
        <v>21</v>
      </c>
      <c r="L32" s="6" t="s">
        <v>21</v>
      </c>
      <c r="M32" s="2">
        <f t="shared" si="0"/>
        <v>9577.61</v>
      </c>
    </row>
    <row r="33" spans="1:13" x14ac:dyDescent="0.25">
      <c r="A33" s="6" t="s">
        <v>6</v>
      </c>
      <c r="B33" s="6" t="s">
        <v>48</v>
      </c>
      <c r="C33" s="6" t="s">
        <v>49</v>
      </c>
      <c r="D33" s="6" t="s">
        <v>555</v>
      </c>
      <c r="E33" s="6" t="s">
        <v>556</v>
      </c>
      <c r="F33" s="9">
        <v>45685</v>
      </c>
      <c r="G33" s="9">
        <v>45715</v>
      </c>
      <c r="H33" s="10">
        <v>1</v>
      </c>
      <c r="I33" s="11">
        <v>15980.85</v>
      </c>
      <c r="J33" s="6" t="s">
        <v>23</v>
      </c>
      <c r="K33" s="6" t="s">
        <v>21</v>
      </c>
      <c r="L33" s="6" t="s">
        <v>21</v>
      </c>
      <c r="M33" s="2">
        <f t="shared" si="0"/>
        <v>15980.85</v>
      </c>
    </row>
    <row r="34" spans="1:13" x14ac:dyDescent="0.25">
      <c r="A34" s="6" t="s">
        <v>6</v>
      </c>
      <c r="B34" s="6" t="s">
        <v>52</v>
      </c>
      <c r="C34" s="6" t="s">
        <v>53</v>
      </c>
      <c r="D34" s="6" t="s">
        <v>54</v>
      </c>
      <c r="E34" s="6" t="s">
        <v>55</v>
      </c>
      <c r="F34" s="9">
        <v>45662</v>
      </c>
      <c r="G34" s="9">
        <v>45692</v>
      </c>
      <c r="H34" s="10">
        <v>24</v>
      </c>
      <c r="I34" s="11">
        <v>408.78</v>
      </c>
      <c r="J34" s="6" t="s">
        <v>23</v>
      </c>
      <c r="K34" s="6" t="s">
        <v>21</v>
      </c>
      <c r="L34" s="6" t="s">
        <v>21</v>
      </c>
      <c r="M34" s="2">
        <f t="shared" si="0"/>
        <v>408.78</v>
      </c>
    </row>
    <row r="35" spans="1:13" x14ac:dyDescent="0.25">
      <c r="A35" s="6" t="s">
        <v>6</v>
      </c>
      <c r="B35" s="6" t="s">
        <v>52</v>
      </c>
      <c r="C35" s="6" t="s">
        <v>53</v>
      </c>
      <c r="D35" s="6" t="s">
        <v>557</v>
      </c>
      <c r="E35" s="6" t="s">
        <v>558</v>
      </c>
      <c r="F35" s="9">
        <v>45685</v>
      </c>
      <c r="G35" s="9">
        <v>45715</v>
      </c>
      <c r="H35" s="10">
        <v>1</v>
      </c>
      <c r="I35" s="11">
        <v>17317.150000000001</v>
      </c>
      <c r="J35" s="6" t="s">
        <v>23</v>
      </c>
      <c r="K35" s="6" t="s">
        <v>21</v>
      </c>
      <c r="L35" s="6" t="s">
        <v>21</v>
      </c>
      <c r="M35" s="2">
        <f t="shared" si="0"/>
        <v>17317.150000000001</v>
      </c>
    </row>
    <row r="36" spans="1:13" x14ac:dyDescent="0.25">
      <c r="A36" s="6" t="s">
        <v>6</v>
      </c>
      <c r="B36" s="6" t="s">
        <v>52</v>
      </c>
      <c r="C36" s="6" t="s">
        <v>53</v>
      </c>
      <c r="D36" s="6" t="s">
        <v>559</v>
      </c>
      <c r="E36" s="6" t="s">
        <v>560</v>
      </c>
      <c r="F36" s="9">
        <v>45685</v>
      </c>
      <c r="G36" s="9">
        <v>45715</v>
      </c>
      <c r="H36" s="10">
        <v>1</v>
      </c>
      <c r="I36" s="11">
        <v>23887.59</v>
      </c>
      <c r="J36" s="6" t="s">
        <v>23</v>
      </c>
      <c r="K36" s="6" t="s">
        <v>21</v>
      </c>
      <c r="L36" s="6" t="s">
        <v>21</v>
      </c>
      <c r="M36" s="2">
        <f t="shared" si="0"/>
        <v>23887.59</v>
      </c>
    </row>
    <row r="37" spans="1:13" x14ac:dyDescent="0.25">
      <c r="A37" s="6" t="s">
        <v>6</v>
      </c>
      <c r="B37" s="6" t="s">
        <v>56</v>
      </c>
      <c r="C37" s="6" t="s">
        <v>57</v>
      </c>
      <c r="D37" s="6" t="s">
        <v>58</v>
      </c>
      <c r="E37" s="6" t="s">
        <v>59</v>
      </c>
      <c r="F37" s="9">
        <v>45631</v>
      </c>
      <c r="G37" s="9">
        <v>45661</v>
      </c>
      <c r="H37" s="10">
        <v>55</v>
      </c>
      <c r="I37" s="11">
        <v>4690.03</v>
      </c>
      <c r="J37" s="6" t="s">
        <v>23</v>
      </c>
      <c r="K37" s="6" t="s">
        <v>60</v>
      </c>
      <c r="L37" s="6" t="s">
        <v>21</v>
      </c>
      <c r="M37" s="2">
        <f t="shared" si="0"/>
        <v>4690.03</v>
      </c>
    </row>
    <row r="38" spans="1:13" x14ac:dyDescent="0.25">
      <c r="A38" s="6" t="s">
        <v>6</v>
      </c>
      <c r="B38" s="6" t="s">
        <v>56</v>
      </c>
      <c r="C38" s="6" t="s">
        <v>57</v>
      </c>
      <c r="D38" s="6" t="s">
        <v>61</v>
      </c>
      <c r="E38" s="6" t="s">
        <v>62</v>
      </c>
      <c r="F38" s="9">
        <v>45631</v>
      </c>
      <c r="G38" s="9">
        <v>45661</v>
      </c>
      <c r="H38" s="10">
        <v>55</v>
      </c>
      <c r="I38" s="11">
        <v>14368.06</v>
      </c>
      <c r="J38" s="6" t="s">
        <v>23</v>
      </c>
      <c r="K38" s="6" t="s">
        <v>60</v>
      </c>
      <c r="L38" s="6" t="s">
        <v>21</v>
      </c>
      <c r="M38" s="2">
        <f t="shared" si="0"/>
        <v>14368.06</v>
      </c>
    </row>
    <row r="39" spans="1:13" x14ac:dyDescent="0.25">
      <c r="A39" s="6" t="s">
        <v>6</v>
      </c>
      <c r="B39" s="6" t="s">
        <v>56</v>
      </c>
      <c r="C39" s="6" t="s">
        <v>57</v>
      </c>
      <c r="D39" s="6" t="s">
        <v>63</v>
      </c>
      <c r="E39" s="6" t="s">
        <v>64</v>
      </c>
      <c r="F39" s="9">
        <v>45631</v>
      </c>
      <c r="G39" s="9">
        <v>45661</v>
      </c>
      <c r="H39" s="10">
        <v>55</v>
      </c>
      <c r="I39" s="11">
        <v>1133471.93</v>
      </c>
      <c r="J39" s="6" t="s">
        <v>23</v>
      </c>
      <c r="K39" s="6" t="s">
        <v>715</v>
      </c>
      <c r="L39" s="6" t="s">
        <v>21</v>
      </c>
      <c r="M39" s="2">
        <f t="shared" si="0"/>
        <v>1133471.93</v>
      </c>
    </row>
    <row r="40" spans="1:13" x14ac:dyDescent="0.25">
      <c r="A40" s="6" t="s">
        <v>6</v>
      </c>
      <c r="B40" s="6" t="s">
        <v>56</v>
      </c>
      <c r="C40" s="6" t="s">
        <v>57</v>
      </c>
      <c r="D40" s="6" t="s">
        <v>65</v>
      </c>
      <c r="E40" s="6" t="s">
        <v>66</v>
      </c>
      <c r="F40" s="9">
        <v>45631</v>
      </c>
      <c r="G40" s="9">
        <v>45661</v>
      </c>
      <c r="H40" s="10">
        <v>55</v>
      </c>
      <c r="I40" s="11">
        <v>1016009.2000000001</v>
      </c>
      <c r="J40" s="6" t="s">
        <v>23</v>
      </c>
      <c r="K40" s="6" t="s">
        <v>715</v>
      </c>
      <c r="L40" s="6" t="s">
        <v>21</v>
      </c>
      <c r="M40" s="2">
        <f t="shared" si="0"/>
        <v>1016009.2000000001</v>
      </c>
    </row>
    <row r="41" spans="1:13" x14ac:dyDescent="0.25">
      <c r="A41" s="6" t="s">
        <v>6</v>
      </c>
      <c r="B41" s="6" t="s">
        <v>56</v>
      </c>
      <c r="C41" s="6" t="s">
        <v>57</v>
      </c>
      <c r="D41" s="6" t="s">
        <v>561</v>
      </c>
      <c r="E41" s="6" t="s">
        <v>562</v>
      </c>
      <c r="F41" s="9">
        <v>45685</v>
      </c>
      <c r="G41" s="9">
        <v>45715</v>
      </c>
      <c r="H41" s="10">
        <v>1</v>
      </c>
      <c r="I41" s="11">
        <v>211438.72</v>
      </c>
      <c r="J41" s="6" t="s">
        <v>23</v>
      </c>
      <c r="K41" s="6" t="s">
        <v>21</v>
      </c>
      <c r="L41" s="6" t="s">
        <v>21</v>
      </c>
      <c r="M41" s="2">
        <f t="shared" si="0"/>
        <v>211438.72</v>
      </c>
    </row>
    <row r="42" spans="1:13" x14ac:dyDescent="0.25">
      <c r="A42" s="6" t="s">
        <v>6</v>
      </c>
      <c r="B42" s="6" t="s">
        <v>716</v>
      </c>
      <c r="C42" s="6" t="s">
        <v>717</v>
      </c>
      <c r="D42" s="6" t="s">
        <v>718</v>
      </c>
      <c r="E42" s="6" t="s">
        <v>719</v>
      </c>
      <c r="F42" s="9">
        <v>45701</v>
      </c>
      <c r="G42" s="9">
        <v>45731</v>
      </c>
      <c r="H42" s="12">
        <v>-15</v>
      </c>
      <c r="I42" s="11">
        <v>44324.87</v>
      </c>
      <c r="J42" s="6" t="s">
        <v>23</v>
      </c>
      <c r="K42" s="6" t="s">
        <v>21</v>
      </c>
      <c r="L42" s="6" t="s">
        <v>21</v>
      </c>
      <c r="M42" s="2" t="str">
        <f t="shared" si="0"/>
        <v/>
      </c>
    </row>
    <row r="43" spans="1:13" x14ac:dyDescent="0.25">
      <c r="A43" s="6" t="s">
        <v>6</v>
      </c>
      <c r="B43" s="6" t="s">
        <v>716</v>
      </c>
      <c r="C43" s="6" t="s">
        <v>717</v>
      </c>
      <c r="D43" s="6" t="s">
        <v>720</v>
      </c>
      <c r="E43" s="6" t="s">
        <v>721</v>
      </c>
      <c r="F43" s="9">
        <v>45701</v>
      </c>
      <c r="G43" s="9">
        <v>45731</v>
      </c>
      <c r="H43" s="12">
        <v>-15</v>
      </c>
      <c r="I43" s="11">
        <v>480.71</v>
      </c>
      <c r="J43" s="6" t="s">
        <v>23</v>
      </c>
      <c r="K43" s="6" t="s">
        <v>21</v>
      </c>
      <c r="L43" s="6" t="s">
        <v>21</v>
      </c>
      <c r="M43" s="2" t="str">
        <f t="shared" si="0"/>
        <v/>
      </c>
    </row>
    <row r="44" spans="1:13" x14ac:dyDescent="0.25">
      <c r="A44" s="6" t="s">
        <v>6</v>
      </c>
      <c r="B44" s="6" t="s">
        <v>67</v>
      </c>
      <c r="C44" s="6" t="s">
        <v>68</v>
      </c>
      <c r="D44" s="6" t="s">
        <v>722</v>
      </c>
      <c r="E44" s="6" t="s">
        <v>21</v>
      </c>
      <c r="F44" s="9">
        <v>45712</v>
      </c>
      <c r="G44" s="9">
        <v>45712</v>
      </c>
      <c r="H44" s="10">
        <v>4</v>
      </c>
      <c r="I44" s="13">
        <v>-4534.8900000000003</v>
      </c>
      <c r="J44" s="6" t="s">
        <v>23</v>
      </c>
      <c r="K44" s="6" t="s">
        <v>21</v>
      </c>
      <c r="L44" s="6" t="s">
        <v>21</v>
      </c>
      <c r="M44" s="2">
        <f t="shared" si="0"/>
        <v>-4534.8900000000003</v>
      </c>
    </row>
    <row r="45" spans="1:13" x14ac:dyDescent="0.25">
      <c r="A45" s="6" t="s">
        <v>6</v>
      </c>
      <c r="B45" s="6" t="s">
        <v>67</v>
      </c>
      <c r="C45" s="6" t="s">
        <v>68</v>
      </c>
      <c r="D45" s="6" t="s">
        <v>723</v>
      </c>
      <c r="E45" s="6" t="s">
        <v>724</v>
      </c>
      <c r="F45" s="9">
        <v>45701</v>
      </c>
      <c r="G45" s="9">
        <v>45731</v>
      </c>
      <c r="H45" s="12">
        <v>-15</v>
      </c>
      <c r="I45" s="11">
        <v>29853.919999999998</v>
      </c>
      <c r="J45" s="6" t="s">
        <v>23</v>
      </c>
      <c r="K45" s="6" t="s">
        <v>21</v>
      </c>
      <c r="L45" s="6" t="s">
        <v>21</v>
      </c>
      <c r="M45" s="2" t="str">
        <f t="shared" si="0"/>
        <v/>
      </c>
    </row>
    <row r="46" spans="1:13" x14ac:dyDescent="0.25">
      <c r="A46" s="6" t="s">
        <v>6</v>
      </c>
      <c r="B46" s="6" t="s">
        <v>67</v>
      </c>
      <c r="C46" s="6" t="s">
        <v>68</v>
      </c>
      <c r="D46" s="6" t="s">
        <v>725</v>
      </c>
      <c r="E46" s="6" t="s">
        <v>726</v>
      </c>
      <c r="F46" s="9">
        <v>45701</v>
      </c>
      <c r="G46" s="9">
        <v>45731</v>
      </c>
      <c r="H46" s="12">
        <v>-15</v>
      </c>
      <c r="I46" s="11">
        <v>94.59</v>
      </c>
      <c r="J46" s="6" t="s">
        <v>23</v>
      </c>
      <c r="K46" s="6" t="s">
        <v>21</v>
      </c>
      <c r="L46" s="6" t="s">
        <v>21</v>
      </c>
      <c r="M46" s="2" t="str">
        <f t="shared" si="0"/>
        <v/>
      </c>
    </row>
    <row r="47" spans="1:13" x14ac:dyDescent="0.25">
      <c r="A47" s="6" t="s">
        <v>6</v>
      </c>
      <c r="B47" s="6" t="s">
        <v>67</v>
      </c>
      <c r="C47" s="6" t="s">
        <v>68</v>
      </c>
      <c r="D47" s="6" t="s">
        <v>727</v>
      </c>
      <c r="E47" s="6" t="s">
        <v>728</v>
      </c>
      <c r="F47" s="9">
        <v>45701</v>
      </c>
      <c r="G47" s="9">
        <v>45731</v>
      </c>
      <c r="H47" s="12">
        <v>-15</v>
      </c>
      <c r="I47" s="11">
        <v>935.42</v>
      </c>
      <c r="J47" s="6" t="s">
        <v>23</v>
      </c>
      <c r="K47" s="6" t="s">
        <v>21</v>
      </c>
      <c r="L47" s="6" t="s">
        <v>24</v>
      </c>
      <c r="M47" s="2" t="str">
        <f t="shared" si="0"/>
        <v/>
      </c>
    </row>
    <row r="48" spans="1:13" x14ac:dyDescent="0.25">
      <c r="A48" s="6" t="s">
        <v>6</v>
      </c>
      <c r="B48" s="6" t="s">
        <v>67</v>
      </c>
      <c r="C48" s="6" t="s">
        <v>68</v>
      </c>
      <c r="D48" s="6" t="s">
        <v>563</v>
      </c>
      <c r="E48" s="6" t="s">
        <v>564</v>
      </c>
      <c r="F48" s="9">
        <v>45685</v>
      </c>
      <c r="G48" s="9">
        <v>45715</v>
      </c>
      <c r="H48" s="10">
        <v>1</v>
      </c>
      <c r="I48" s="11">
        <v>21221.62</v>
      </c>
      <c r="J48" s="6" t="s">
        <v>23</v>
      </c>
      <c r="K48" s="6" t="s">
        <v>21</v>
      </c>
      <c r="L48" s="6" t="s">
        <v>24</v>
      </c>
      <c r="M48" s="2">
        <f t="shared" si="0"/>
        <v>21221.62</v>
      </c>
    </row>
    <row r="49" spans="1:13" x14ac:dyDescent="0.25">
      <c r="A49" s="6" t="s">
        <v>6</v>
      </c>
      <c r="B49" s="6" t="s">
        <v>67</v>
      </c>
      <c r="C49" s="6" t="s">
        <v>68</v>
      </c>
      <c r="D49" s="6" t="s">
        <v>565</v>
      </c>
      <c r="E49" s="6" t="s">
        <v>566</v>
      </c>
      <c r="F49" s="9">
        <v>45685</v>
      </c>
      <c r="G49" s="9">
        <v>45730</v>
      </c>
      <c r="H49" s="12">
        <v>-14</v>
      </c>
      <c r="I49" s="11">
        <v>16851.060000000001</v>
      </c>
      <c r="J49" s="6" t="s">
        <v>23</v>
      </c>
      <c r="K49" s="6" t="s">
        <v>21</v>
      </c>
      <c r="L49" s="6" t="s">
        <v>21</v>
      </c>
      <c r="M49" s="2" t="str">
        <f t="shared" si="0"/>
        <v/>
      </c>
    </row>
    <row r="50" spans="1:13" x14ac:dyDescent="0.25">
      <c r="A50" s="6" t="s">
        <v>6</v>
      </c>
      <c r="B50" s="6" t="s">
        <v>67</v>
      </c>
      <c r="C50" s="6" t="s">
        <v>68</v>
      </c>
      <c r="D50" s="6" t="s">
        <v>567</v>
      </c>
      <c r="E50" s="6" t="s">
        <v>568</v>
      </c>
      <c r="F50" s="9">
        <v>45685</v>
      </c>
      <c r="G50" s="9">
        <v>45745</v>
      </c>
      <c r="H50" s="12">
        <v>-29</v>
      </c>
      <c r="I50" s="11">
        <v>2366.7399999999998</v>
      </c>
      <c r="J50" s="6" t="s">
        <v>23</v>
      </c>
      <c r="K50" s="6" t="s">
        <v>21</v>
      </c>
      <c r="L50" s="6" t="s">
        <v>21</v>
      </c>
      <c r="M50" s="2" t="str">
        <f t="shared" si="0"/>
        <v/>
      </c>
    </row>
    <row r="51" spans="1:13" x14ac:dyDescent="0.25">
      <c r="A51" s="6" t="s">
        <v>6</v>
      </c>
      <c r="B51" s="6" t="s">
        <v>67</v>
      </c>
      <c r="C51" s="6" t="s">
        <v>68</v>
      </c>
      <c r="D51" s="6" t="s">
        <v>569</v>
      </c>
      <c r="E51" s="6" t="s">
        <v>570</v>
      </c>
      <c r="F51" s="9">
        <v>45685</v>
      </c>
      <c r="G51" s="9">
        <v>45715</v>
      </c>
      <c r="H51" s="10">
        <v>1</v>
      </c>
      <c r="I51" s="11">
        <v>292.04000000000002</v>
      </c>
      <c r="J51" s="6" t="s">
        <v>23</v>
      </c>
      <c r="K51" s="6" t="s">
        <v>21</v>
      </c>
      <c r="L51" s="6" t="s">
        <v>24</v>
      </c>
      <c r="M51" s="2">
        <f t="shared" si="0"/>
        <v>292.04000000000002</v>
      </c>
    </row>
    <row r="52" spans="1:13" x14ac:dyDescent="0.25">
      <c r="A52" s="6" t="s">
        <v>6</v>
      </c>
      <c r="B52" s="6" t="s">
        <v>67</v>
      </c>
      <c r="C52" s="6" t="s">
        <v>68</v>
      </c>
      <c r="D52" s="6" t="s">
        <v>571</v>
      </c>
      <c r="E52" s="6" t="s">
        <v>572</v>
      </c>
      <c r="F52" s="9">
        <v>45685</v>
      </c>
      <c r="G52" s="9">
        <v>45730</v>
      </c>
      <c r="H52" s="12">
        <v>-14</v>
      </c>
      <c r="I52" s="11">
        <v>22400.21</v>
      </c>
      <c r="J52" s="6" t="s">
        <v>23</v>
      </c>
      <c r="K52" s="6" t="s">
        <v>21</v>
      </c>
      <c r="L52" s="6" t="s">
        <v>21</v>
      </c>
      <c r="M52" s="2" t="str">
        <f t="shared" si="0"/>
        <v/>
      </c>
    </row>
    <row r="53" spans="1:13" x14ac:dyDescent="0.25">
      <c r="A53" s="6" t="s">
        <v>6</v>
      </c>
      <c r="B53" s="6" t="s">
        <v>67</v>
      </c>
      <c r="C53" s="6" t="s">
        <v>68</v>
      </c>
      <c r="D53" s="6" t="s">
        <v>573</v>
      </c>
      <c r="E53" s="6" t="s">
        <v>574</v>
      </c>
      <c r="F53" s="9">
        <v>45685</v>
      </c>
      <c r="G53" s="9">
        <v>45699</v>
      </c>
      <c r="H53" s="10">
        <v>17</v>
      </c>
      <c r="I53" s="11">
        <v>1565.55</v>
      </c>
      <c r="J53" s="6" t="s">
        <v>23</v>
      </c>
      <c r="K53" s="6" t="s">
        <v>21</v>
      </c>
      <c r="L53" s="6" t="s">
        <v>21</v>
      </c>
      <c r="M53" s="2">
        <f t="shared" si="0"/>
        <v>1565.55</v>
      </c>
    </row>
    <row r="54" spans="1:13" x14ac:dyDescent="0.25">
      <c r="A54" s="6" t="s">
        <v>6</v>
      </c>
      <c r="B54" s="6" t="s">
        <v>67</v>
      </c>
      <c r="C54" s="6" t="s">
        <v>68</v>
      </c>
      <c r="D54" s="6" t="s">
        <v>575</v>
      </c>
      <c r="E54" s="6" t="s">
        <v>576</v>
      </c>
      <c r="F54" s="9">
        <v>45685</v>
      </c>
      <c r="G54" s="9">
        <v>45730</v>
      </c>
      <c r="H54" s="12">
        <v>-14</v>
      </c>
      <c r="I54" s="11">
        <v>9788.81</v>
      </c>
      <c r="J54" s="6" t="s">
        <v>23</v>
      </c>
      <c r="K54" s="6" t="s">
        <v>21</v>
      </c>
      <c r="L54" s="6" t="s">
        <v>21</v>
      </c>
      <c r="M54" s="2" t="str">
        <f t="shared" si="0"/>
        <v/>
      </c>
    </row>
    <row r="55" spans="1:13" x14ac:dyDescent="0.25">
      <c r="A55" s="6" t="s">
        <v>6</v>
      </c>
      <c r="B55" s="6" t="s">
        <v>67</v>
      </c>
      <c r="C55" s="6" t="s">
        <v>68</v>
      </c>
      <c r="D55" s="6" t="s">
        <v>577</v>
      </c>
      <c r="E55" s="6" t="s">
        <v>578</v>
      </c>
      <c r="F55" s="9">
        <v>45685</v>
      </c>
      <c r="G55" s="9">
        <v>45730</v>
      </c>
      <c r="H55" s="12">
        <v>-14</v>
      </c>
      <c r="I55" s="11">
        <v>3766.06</v>
      </c>
      <c r="J55" s="6" t="s">
        <v>23</v>
      </c>
      <c r="K55" s="6" t="s">
        <v>21</v>
      </c>
      <c r="L55" s="6" t="s">
        <v>21</v>
      </c>
      <c r="M55" s="2" t="str">
        <f t="shared" si="0"/>
        <v/>
      </c>
    </row>
    <row r="56" spans="1:13" x14ac:dyDescent="0.25">
      <c r="A56" s="6" t="s">
        <v>6</v>
      </c>
      <c r="B56" s="6" t="s">
        <v>67</v>
      </c>
      <c r="C56" s="6" t="s">
        <v>68</v>
      </c>
      <c r="D56" s="6" t="s">
        <v>579</v>
      </c>
      <c r="E56" s="6" t="s">
        <v>580</v>
      </c>
      <c r="F56" s="9">
        <v>45685</v>
      </c>
      <c r="G56" s="9">
        <v>45730</v>
      </c>
      <c r="H56" s="12">
        <v>-14</v>
      </c>
      <c r="I56" s="11">
        <v>4534.8900000000003</v>
      </c>
      <c r="J56" s="6" t="s">
        <v>23</v>
      </c>
      <c r="K56" s="6" t="s">
        <v>21</v>
      </c>
      <c r="L56" s="6" t="s">
        <v>21</v>
      </c>
      <c r="M56" s="2" t="str">
        <f t="shared" si="0"/>
        <v/>
      </c>
    </row>
    <row r="57" spans="1:13" x14ac:dyDescent="0.25">
      <c r="A57" s="6" t="s">
        <v>6</v>
      </c>
      <c r="B57" s="6" t="s">
        <v>67</v>
      </c>
      <c r="C57" s="6" t="s">
        <v>68</v>
      </c>
      <c r="D57" s="6" t="s">
        <v>581</v>
      </c>
      <c r="E57" s="6" t="s">
        <v>582</v>
      </c>
      <c r="F57" s="9">
        <v>45685</v>
      </c>
      <c r="G57" s="9">
        <v>45745</v>
      </c>
      <c r="H57" s="12">
        <v>-29</v>
      </c>
      <c r="I57" s="11">
        <v>39589.040000000001</v>
      </c>
      <c r="J57" s="6" t="s">
        <v>23</v>
      </c>
      <c r="K57" s="6" t="s">
        <v>21</v>
      </c>
      <c r="L57" s="6" t="s">
        <v>21</v>
      </c>
      <c r="M57" s="2" t="str">
        <f t="shared" si="0"/>
        <v/>
      </c>
    </row>
    <row r="58" spans="1:13" x14ac:dyDescent="0.25">
      <c r="A58" s="6" t="s">
        <v>6</v>
      </c>
      <c r="B58" s="6" t="s">
        <v>67</v>
      </c>
      <c r="C58" s="6" t="s">
        <v>68</v>
      </c>
      <c r="D58" s="6" t="s">
        <v>583</v>
      </c>
      <c r="E58" s="6" t="s">
        <v>584</v>
      </c>
      <c r="F58" s="9">
        <v>45685</v>
      </c>
      <c r="G58" s="9">
        <v>45745</v>
      </c>
      <c r="H58" s="12">
        <v>-29</v>
      </c>
      <c r="I58" s="11">
        <v>9820.5300000000007</v>
      </c>
      <c r="J58" s="6" t="s">
        <v>23</v>
      </c>
      <c r="K58" s="6" t="s">
        <v>21</v>
      </c>
      <c r="L58" s="6" t="s">
        <v>21</v>
      </c>
      <c r="M58" s="2" t="str">
        <f t="shared" si="0"/>
        <v/>
      </c>
    </row>
    <row r="59" spans="1:13" x14ac:dyDescent="0.25">
      <c r="A59" s="6" t="s">
        <v>6</v>
      </c>
      <c r="B59" s="6" t="s">
        <v>67</v>
      </c>
      <c r="C59" s="6" t="s">
        <v>68</v>
      </c>
      <c r="D59" s="6" t="s">
        <v>585</v>
      </c>
      <c r="E59" s="6" t="s">
        <v>586</v>
      </c>
      <c r="F59" s="9">
        <v>45685</v>
      </c>
      <c r="G59" s="9">
        <v>45745</v>
      </c>
      <c r="H59" s="12">
        <v>-29</v>
      </c>
      <c r="I59" s="11">
        <v>1807.51</v>
      </c>
      <c r="J59" s="6" t="s">
        <v>23</v>
      </c>
      <c r="K59" s="6" t="s">
        <v>21</v>
      </c>
      <c r="L59" s="6" t="s">
        <v>21</v>
      </c>
      <c r="M59" s="2" t="str">
        <f t="shared" si="0"/>
        <v/>
      </c>
    </row>
    <row r="60" spans="1:13" x14ac:dyDescent="0.25">
      <c r="A60" s="6" t="s">
        <v>6</v>
      </c>
      <c r="B60" s="6" t="s">
        <v>67</v>
      </c>
      <c r="C60" s="6" t="s">
        <v>68</v>
      </c>
      <c r="D60" s="6" t="s">
        <v>729</v>
      </c>
      <c r="E60" s="6" t="s">
        <v>730</v>
      </c>
      <c r="F60" s="9">
        <v>45712</v>
      </c>
      <c r="G60" s="9">
        <v>45742</v>
      </c>
      <c r="H60" s="12">
        <v>-26</v>
      </c>
      <c r="I60" s="11">
        <v>5134.75</v>
      </c>
      <c r="J60" s="6" t="s">
        <v>23</v>
      </c>
      <c r="K60" s="6" t="s">
        <v>731</v>
      </c>
      <c r="L60" s="6" t="s">
        <v>21</v>
      </c>
      <c r="M60" s="2" t="str">
        <f t="shared" si="0"/>
        <v/>
      </c>
    </row>
    <row r="61" spans="1:13" x14ac:dyDescent="0.25">
      <c r="A61" s="6" t="s">
        <v>6</v>
      </c>
      <c r="B61" s="6" t="s">
        <v>67</v>
      </c>
      <c r="C61" s="6" t="s">
        <v>68</v>
      </c>
      <c r="D61" s="6" t="s">
        <v>732</v>
      </c>
      <c r="E61" s="6" t="s">
        <v>733</v>
      </c>
      <c r="F61" s="9">
        <v>45694</v>
      </c>
      <c r="G61" s="9">
        <v>45724</v>
      </c>
      <c r="H61" s="12">
        <v>-8</v>
      </c>
      <c r="I61" s="11">
        <v>15942.17</v>
      </c>
      <c r="J61" s="6" t="s">
        <v>23</v>
      </c>
      <c r="K61" s="6" t="s">
        <v>21</v>
      </c>
      <c r="L61" s="6" t="s">
        <v>21</v>
      </c>
      <c r="M61" s="2" t="str">
        <f t="shared" si="0"/>
        <v/>
      </c>
    </row>
    <row r="62" spans="1:13" x14ac:dyDescent="0.25">
      <c r="A62" s="6" t="s">
        <v>6</v>
      </c>
      <c r="B62" s="6" t="s">
        <v>67</v>
      </c>
      <c r="C62" s="6" t="s">
        <v>68</v>
      </c>
      <c r="D62" s="6" t="s">
        <v>734</v>
      </c>
      <c r="E62" s="6" t="s">
        <v>735</v>
      </c>
      <c r="F62" s="9">
        <v>45699</v>
      </c>
      <c r="G62" s="9">
        <v>45729</v>
      </c>
      <c r="H62" s="12">
        <v>-13</v>
      </c>
      <c r="I62" s="11">
        <v>38815.32</v>
      </c>
      <c r="J62" s="6" t="s">
        <v>23</v>
      </c>
      <c r="K62" s="6" t="s">
        <v>21</v>
      </c>
      <c r="L62" s="6" t="s">
        <v>21</v>
      </c>
      <c r="M62" s="2" t="str">
        <f t="shared" si="0"/>
        <v/>
      </c>
    </row>
    <row r="63" spans="1:13" x14ac:dyDescent="0.25">
      <c r="A63" s="6" t="s">
        <v>6</v>
      </c>
      <c r="B63" s="6" t="s">
        <v>67</v>
      </c>
      <c r="C63" s="6" t="s">
        <v>68</v>
      </c>
      <c r="D63" s="6" t="s">
        <v>736</v>
      </c>
      <c r="E63" s="6" t="s">
        <v>737</v>
      </c>
      <c r="F63" s="9">
        <v>45695</v>
      </c>
      <c r="G63" s="9">
        <v>45725</v>
      </c>
      <c r="H63" s="12">
        <v>-9</v>
      </c>
      <c r="I63" s="11">
        <v>151.35</v>
      </c>
      <c r="J63" s="6" t="s">
        <v>23</v>
      </c>
      <c r="K63" s="6" t="s">
        <v>738</v>
      </c>
      <c r="L63" s="6" t="s">
        <v>21</v>
      </c>
      <c r="M63" s="2" t="str">
        <f t="shared" si="0"/>
        <v/>
      </c>
    </row>
    <row r="64" spans="1:13" x14ac:dyDescent="0.25">
      <c r="A64" s="6" t="s">
        <v>6</v>
      </c>
      <c r="B64" s="6" t="s">
        <v>67</v>
      </c>
      <c r="C64" s="6" t="s">
        <v>68</v>
      </c>
      <c r="D64" s="6" t="s">
        <v>739</v>
      </c>
      <c r="E64" s="6" t="s">
        <v>740</v>
      </c>
      <c r="F64" s="9">
        <v>45695</v>
      </c>
      <c r="G64" s="9">
        <v>45725</v>
      </c>
      <c r="H64" s="12">
        <v>-9</v>
      </c>
      <c r="I64" s="11">
        <v>151.35</v>
      </c>
      <c r="J64" s="6" t="s">
        <v>23</v>
      </c>
      <c r="K64" s="6" t="s">
        <v>738</v>
      </c>
      <c r="L64" s="6" t="s">
        <v>21</v>
      </c>
      <c r="M64" s="2" t="str">
        <f t="shared" si="0"/>
        <v/>
      </c>
    </row>
    <row r="65" spans="1:13" x14ac:dyDescent="0.25">
      <c r="A65" s="6" t="s">
        <v>6</v>
      </c>
      <c r="B65" s="6" t="s">
        <v>67</v>
      </c>
      <c r="C65" s="6" t="s">
        <v>68</v>
      </c>
      <c r="D65" s="6" t="s">
        <v>741</v>
      </c>
      <c r="E65" s="6" t="s">
        <v>742</v>
      </c>
      <c r="F65" s="9">
        <v>45714</v>
      </c>
      <c r="G65" s="9">
        <v>45744</v>
      </c>
      <c r="H65" s="12">
        <v>-28</v>
      </c>
      <c r="I65" s="11">
        <v>32483.33</v>
      </c>
      <c r="J65" s="6" t="s">
        <v>23</v>
      </c>
      <c r="K65" s="6" t="s">
        <v>21</v>
      </c>
      <c r="L65" s="6" t="s">
        <v>21</v>
      </c>
      <c r="M65" s="2" t="str">
        <f t="shared" si="0"/>
        <v/>
      </c>
    </row>
    <row r="66" spans="1:13" x14ac:dyDescent="0.25">
      <c r="A66" s="6" t="s">
        <v>6</v>
      </c>
      <c r="B66" s="6" t="s">
        <v>69</v>
      </c>
      <c r="C66" s="6" t="s">
        <v>70</v>
      </c>
      <c r="D66" s="6" t="s">
        <v>71</v>
      </c>
      <c r="E66" s="6" t="s">
        <v>72</v>
      </c>
      <c r="F66" s="9">
        <v>45649</v>
      </c>
      <c r="G66" s="9">
        <v>45679</v>
      </c>
      <c r="H66" s="10">
        <v>37</v>
      </c>
      <c r="I66" s="11">
        <v>4107.8</v>
      </c>
      <c r="J66" s="6" t="s">
        <v>23</v>
      </c>
      <c r="K66" s="6" t="s">
        <v>73</v>
      </c>
      <c r="L66" s="6" t="s">
        <v>21</v>
      </c>
      <c r="M66" s="2">
        <f t="shared" si="0"/>
        <v>4107.8</v>
      </c>
    </row>
    <row r="67" spans="1:13" x14ac:dyDescent="0.25">
      <c r="A67" s="6" t="s">
        <v>6</v>
      </c>
      <c r="B67" s="6" t="s">
        <v>69</v>
      </c>
      <c r="C67" s="6" t="s">
        <v>70</v>
      </c>
      <c r="D67" s="6" t="s">
        <v>74</v>
      </c>
      <c r="E67" s="6" t="s">
        <v>75</v>
      </c>
      <c r="F67" s="9">
        <v>45623</v>
      </c>
      <c r="G67" s="9">
        <v>45653</v>
      </c>
      <c r="H67" s="10">
        <v>63</v>
      </c>
      <c r="I67" s="11">
        <v>2053.9</v>
      </c>
      <c r="J67" s="6" t="s">
        <v>23</v>
      </c>
      <c r="K67" s="6" t="s">
        <v>76</v>
      </c>
      <c r="L67" s="6" t="s">
        <v>21</v>
      </c>
      <c r="M67" s="2">
        <f t="shared" ref="M67:M130" si="1">IF(H67&gt;0,I67,"")</f>
        <v>2053.9</v>
      </c>
    </row>
    <row r="68" spans="1:13" x14ac:dyDescent="0.25">
      <c r="A68" s="6" t="s">
        <v>6</v>
      </c>
      <c r="B68" s="6" t="s">
        <v>77</v>
      </c>
      <c r="C68" s="6" t="s">
        <v>78</v>
      </c>
      <c r="D68" s="6" t="s">
        <v>743</v>
      </c>
      <c r="E68" s="6" t="s">
        <v>744</v>
      </c>
      <c r="F68" s="9">
        <v>45701</v>
      </c>
      <c r="G68" s="9">
        <v>45731</v>
      </c>
      <c r="H68" s="12">
        <v>-15</v>
      </c>
      <c r="I68" s="11">
        <v>292307.31</v>
      </c>
      <c r="J68" s="6" t="s">
        <v>23</v>
      </c>
      <c r="K68" s="6" t="s">
        <v>21</v>
      </c>
      <c r="L68" s="6" t="s">
        <v>21</v>
      </c>
      <c r="M68" s="2" t="str">
        <f t="shared" si="1"/>
        <v/>
      </c>
    </row>
    <row r="69" spans="1:13" x14ac:dyDescent="0.25">
      <c r="A69" s="6" t="s">
        <v>6</v>
      </c>
      <c r="B69" s="6" t="s">
        <v>77</v>
      </c>
      <c r="C69" s="6" t="s">
        <v>78</v>
      </c>
      <c r="D69" s="6" t="s">
        <v>745</v>
      </c>
      <c r="E69" s="6" t="s">
        <v>746</v>
      </c>
      <c r="F69" s="9">
        <v>45693</v>
      </c>
      <c r="G69" s="9">
        <v>45723</v>
      </c>
      <c r="H69" s="12">
        <v>-7</v>
      </c>
      <c r="I69" s="11">
        <v>3814.92</v>
      </c>
      <c r="J69" s="6" t="s">
        <v>23</v>
      </c>
      <c r="K69" s="6" t="s">
        <v>21</v>
      </c>
      <c r="L69" s="6" t="s">
        <v>21</v>
      </c>
      <c r="M69" s="2" t="str">
        <f t="shared" si="1"/>
        <v/>
      </c>
    </row>
    <row r="70" spans="1:13" x14ac:dyDescent="0.25">
      <c r="A70" s="6" t="s">
        <v>6</v>
      </c>
      <c r="B70" s="6" t="s">
        <v>79</v>
      </c>
      <c r="C70" s="6" t="s">
        <v>80</v>
      </c>
      <c r="D70" s="6" t="s">
        <v>747</v>
      </c>
      <c r="E70" s="6" t="s">
        <v>21</v>
      </c>
      <c r="F70" s="9">
        <v>45698</v>
      </c>
      <c r="G70" s="9">
        <v>45698</v>
      </c>
      <c r="H70" s="10">
        <v>18</v>
      </c>
      <c r="I70" s="13">
        <v>-16604.16</v>
      </c>
      <c r="J70" s="6" t="s">
        <v>23</v>
      </c>
      <c r="K70" s="6" t="s">
        <v>21</v>
      </c>
      <c r="L70" s="6" t="s">
        <v>21</v>
      </c>
      <c r="M70" s="2">
        <f t="shared" si="1"/>
        <v>-16604.16</v>
      </c>
    </row>
    <row r="71" spans="1:13" x14ac:dyDescent="0.25">
      <c r="A71" s="6" t="s">
        <v>6</v>
      </c>
      <c r="B71" s="6" t="s">
        <v>79</v>
      </c>
      <c r="C71" s="6" t="s">
        <v>80</v>
      </c>
      <c r="D71" s="6" t="s">
        <v>81</v>
      </c>
      <c r="E71" s="6" t="s">
        <v>21</v>
      </c>
      <c r="F71" s="9">
        <v>45608</v>
      </c>
      <c r="G71" s="9">
        <v>45608</v>
      </c>
      <c r="H71" s="10">
        <v>108</v>
      </c>
      <c r="I71" s="13">
        <v>-530.75</v>
      </c>
      <c r="J71" s="6" t="s">
        <v>23</v>
      </c>
      <c r="K71" s="6" t="s">
        <v>21</v>
      </c>
      <c r="L71" s="6" t="s">
        <v>21</v>
      </c>
      <c r="M71" s="2">
        <f t="shared" si="1"/>
        <v>-530.75</v>
      </c>
    </row>
    <row r="72" spans="1:13" x14ac:dyDescent="0.25">
      <c r="A72" s="6" t="s">
        <v>6</v>
      </c>
      <c r="B72" s="6" t="s">
        <v>79</v>
      </c>
      <c r="C72" s="6" t="s">
        <v>80</v>
      </c>
      <c r="D72" s="6" t="s">
        <v>82</v>
      </c>
      <c r="E72" s="6" t="s">
        <v>21</v>
      </c>
      <c r="F72" s="9">
        <v>45636</v>
      </c>
      <c r="G72" s="9">
        <v>45636</v>
      </c>
      <c r="H72" s="10">
        <v>80</v>
      </c>
      <c r="I72" s="13">
        <v>-211.9</v>
      </c>
      <c r="J72" s="6" t="s">
        <v>23</v>
      </c>
      <c r="K72" s="6" t="s">
        <v>21</v>
      </c>
      <c r="L72" s="6" t="s">
        <v>21</v>
      </c>
      <c r="M72" s="2">
        <f t="shared" si="1"/>
        <v>-211.9</v>
      </c>
    </row>
    <row r="73" spans="1:13" x14ac:dyDescent="0.25">
      <c r="A73" s="6" t="s">
        <v>6</v>
      </c>
      <c r="B73" s="6" t="s">
        <v>79</v>
      </c>
      <c r="C73" s="6" t="s">
        <v>80</v>
      </c>
      <c r="D73" s="6" t="s">
        <v>83</v>
      </c>
      <c r="E73" s="6" t="s">
        <v>21</v>
      </c>
      <c r="F73" s="9">
        <v>45636</v>
      </c>
      <c r="G73" s="9">
        <v>45636</v>
      </c>
      <c r="H73" s="10">
        <v>80</v>
      </c>
      <c r="I73" s="13">
        <v>-211.9</v>
      </c>
      <c r="J73" s="6" t="s">
        <v>23</v>
      </c>
      <c r="K73" s="6" t="s">
        <v>21</v>
      </c>
      <c r="L73" s="6" t="s">
        <v>21</v>
      </c>
      <c r="M73" s="2">
        <f t="shared" si="1"/>
        <v>-211.9</v>
      </c>
    </row>
    <row r="74" spans="1:13" x14ac:dyDescent="0.25">
      <c r="A74" s="6" t="s">
        <v>6</v>
      </c>
      <c r="B74" s="6" t="s">
        <v>79</v>
      </c>
      <c r="C74" s="6" t="s">
        <v>80</v>
      </c>
      <c r="D74" s="6" t="s">
        <v>84</v>
      </c>
      <c r="E74" s="6" t="s">
        <v>21</v>
      </c>
      <c r="F74" s="9">
        <v>45580</v>
      </c>
      <c r="G74" s="9">
        <v>45580</v>
      </c>
      <c r="H74" s="10">
        <v>136</v>
      </c>
      <c r="I74" s="13">
        <v>-843.85</v>
      </c>
      <c r="J74" s="6" t="s">
        <v>23</v>
      </c>
      <c r="K74" s="6" t="s">
        <v>85</v>
      </c>
      <c r="L74" s="6" t="s">
        <v>21</v>
      </c>
      <c r="M74" s="2">
        <f t="shared" si="1"/>
        <v>-843.85</v>
      </c>
    </row>
    <row r="75" spans="1:13" x14ac:dyDescent="0.25">
      <c r="A75" s="6" t="s">
        <v>6</v>
      </c>
      <c r="B75" s="6" t="s">
        <v>79</v>
      </c>
      <c r="C75" s="6" t="s">
        <v>80</v>
      </c>
      <c r="D75" s="6" t="s">
        <v>86</v>
      </c>
      <c r="E75" s="6" t="s">
        <v>21</v>
      </c>
      <c r="F75" s="9">
        <v>45357</v>
      </c>
      <c r="G75" s="9">
        <v>45357</v>
      </c>
      <c r="H75" s="10">
        <v>359</v>
      </c>
      <c r="I75" s="13">
        <v>-622.65</v>
      </c>
      <c r="J75" s="6" t="s">
        <v>23</v>
      </c>
      <c r="K75" s="6" t="s">
        <v>87</v>
      </c>
      <c r="L75" s="6" t="s">
        <v>21</v>
      </c>
      <c r="M75" s="2">
        <f t="shared" si="1"/>
        <v>-622.65</v>
      </c>
    </row>
    <row r="76" spans="1:13" x14ac:dyDescent="0.25">
      <c r="A76" s="6" t="s">
        <v>6</v>
      </c>
      <c r="B76" s="6" t="s">
        <v>79</v>
      </c>
      <c r="C76" s="6" t="s">
        <v>80</v>
      </c>
      <c r="D76" s="6" t="s">
        <v>88</v>
      </c>
      <c r="E76" s="6" t="s">
        <v>89</v>
      </c>
      <c r="F76" s="9">
        <v>45656</v>
      </c>
      <c r="G76" s="9">
        <v>45686</v>
      </c>
      <c r="H76" s="10">
        <v>30</v>
      </c>
      <c r="I76" s="11">
        <v>2783.58</v>
      </c>
      <c r="J76" s="6" t="s">
        <v>23</v>
      </c>
      <c r="K76" s="6" t="s">
        <v>21</v>
      </c>
      <c r="L76" s="6" t="s">
        <v>21</v>
      </c>
      <c r="M76" s="2">
        <f t="shared" si="1"/>
        <v>2783.58</v>
      </c>
    </row>
    <row r="77" spans="1:13" x14ac:dyDescent="0.25">
      <c r="A77" s="6" t="s">
        <v>6</v>
      </c>
      <c r="B77" s="6" t="s">
        <v>79</v>
      </c>
      <c r="C77" s="6" t="s">
        <v>80</v>
      </c>
      <c r="D77" s="6" t="s">
        <v>748</v>
      </c>
      <c r="E77" s="6" t="s">
        <v>749</v>
      </c>
      <c r="F77" s="9">
        <v>45687</v>
      </c>
      <c r="G77" s="9">
        <v>45717</v>
      </c>
      <c r="H77" s="12">
        <v>-1</v>
      </c>
      <c r="I77" s="11">
        <v>6724.0400000000009</v>
      </c>
      <c r="J77" s="6" t="s">
        <v>23</v>
      </c>
      <c r="K77" s="6" t="s">
        <v>21</v>
      </c>
      <c r="L77" s="6" t="s">
        <v>21</v>
      </c>
      <c r="M77" s="2" t="str">
        <f t="shared" si="1"/>
        <v/>
      </c>
    </row>
    <row r="78" spans="1:13" x14ac:dyDescent="0.25">
      <c r="A78" s="6" t="s">
        <v>6</v>
      </c>
      <c r="B78" s="6" t="s">
        <v>79</v>
      </c>
      <c r="C78" s="6" t="s">
        <v>80</v>
      </c>
      <c r="D78" s="6" t="s">
        <v>587</v>
      </c>
      <c r="E78" s="6" t="s">
        <v>588</v>
      </c>
      <c r="F78" s="9">
        <v>45685</v>
      </c>
      <c r="G78" s="9">
        <v>45715</v>
      </c>
      <c r="H78" s="10">
        <v>1</v>
      </c>
      <c r="I78" s="11">
        <v>47049.93</v>
      </c>
      <c r="J78" s="6" t="s">
        <v>23</v>
      </c>
      <c r="K78" s="6" t="s">
        <v>21</v>
      </c>
      <c r="L78" s="6" t="s">
        <v>21</v>
      </c>
      <c r="M78" s="2">
        <f t="shared" si="1"/>
        <v>47049.93</v>
      </c>
    </row>
    <row r="79" spans="1:13" x14ac:dyDescent="0.25">
      <c r="A79" s="6" t="s">
        <v>6</v>
      </c>
      <c r="B79" s="6" t="s">
        <v>79</v>
      </c>
      <c r="C79" s="6" t="s">
        <v>80</v>
      </c>
      <c r="D79" s="6" t="s">
        <v>589</v>
      </c>
      <c r="E79" s="6" t="s">
        <v>590</v>
      </c>
      <c r="F79" s="9">
        <v>45685</v>
      </c>
      <c r="G79" s="9">
        <v>45715</v>
      </c>
      <c r="H79" s="10">
        <v>1</v>
      </c>
      <c r="I79" s="11">
        <v>48702.67</v>
      </c>
      <c r="J79" s="6" t="s">
        <v>23</v>
      </c>
      <c r="K79" s="6" t="s">
        <v>21</v>
      </c>
      <c r="L79" s="6" t="s">
        <v>21</v>
      </c>
      <c r="M79" s="2">
        <f t="shared" si="1"/>
        <v>48702.67</v>
      </c>
    </row>
    <row r="80" spans="1:13" x14ac:dyDescent="0.25">
      <c r="A80" s="6" t="s">
        <v>6</v>
      </c>
      <c r="B80" s="6" t="s">
        <v>79</v>
      </c>
      <c r="C80" s="6" t="s">
        <v>80</v>
      </c>
      <c r="D80" s="6" t="s">
        <v>591</v>
      </c>
      <c r="E80" s="6" t="s">
        <v>592</v>
      </c>
      <c r="F80" s="9">
        <v>45685</v>
      </c>
      <c r="G80" s="9">
        <v>45715</v>
      </c>
      <c r="H80" s="10">
        <v>1</v>
      </c>
      <c r="I80" s="11">
        <v>5231.6899999999996</v>
      </c>
      <c r="J80" s="6" t="s">
        <v>23</v>
      </c>
      <c r="K80" s="6" t="s">
        <v>21</v>
      </c>
      <c r="L80" s="6" t="s">
        <v>21</v>
      </c>
      <c r="M80" s="2">
        <f t="shared" si="1"/>
        <v>5231.6899999999996</v>
      </c>
    </row>
    <row r="81" spans="1:13" x14ac:dyDescent="0.25">
      <c r="A81" s="6" t="s">
        <v>6</v>
      </c>
      <c r="B81" s="6" t="s">
        <v>79</v>
      </c>
      <c r="C81" s="6" t="s">
        <v>80</v>
      </c>
      <c r="D81" s="6" t="s">
        <v>593</v>
      </c>
      <c r="E81" s="6" t="s">
        <v>594</v>
      </c>
      <c r="F81" s="9">
        <v>45685</v>
      </c>
      <c r="G81" s="9">
        <v>45715</v>
      </c>
      <c r="H81" s="10">
        <v>1</v>
      </c>
      <c r="I81" s="11">
        <v>1294.3599999999999</v>
      </c>
      <c r="J81" s="6" t="s">
        <v>23</v>
      </c>
      <c r="K81" s="6" t="s">
        <v>21</v>
      </c>
      <c r="L81" s="6" t="s">
        <v>21</v>
      </c>
      <c r="M81" s="2">
        <f t="shared" si="1"/>
        <v>1294.3599999999999</v>
      </c>
    </row>
    <row r="82" spans="1:13" x14ac:dyDescent="0.25">
      <c r="A82" s="6" t="s">
        <v>6</v>
      </c>
      <c r="B82" s="6" t="s">
        <v>79</v>
      </c>
      <c r="C82" s="6" t="s">
        <v>80</v>
      </c>
      <c r="D82" s="6" t="s">
        <v>595</v>
      </c>
      <c r="E82" s="6" t="s">
        <v>596</v>
      </c>
      <c r="F82" s="9">
        <v>45685</v>
      </c>
      <c r="G82" s="9">
        <v>45715</v>
      </c>
      <c r="H82" s="10">
        <v>1</v>
      </c>
      <c r="I82" s="11">
        <v>9938.92</v>
      </c>
      <c r="J82" s="6" t="s">
        <v>23</v>
      </c>
      <c r="K82" s="6" t="s">
        <v>21</v>
      </c>
      <c r="L82" s="6" t="s">
        <v>21</v>
      </c>
      <c r="M82" s="2">
        <f t="shared" si="1"/>
        <v>9938.92</v>
      </c>
    </row>
    <row r="83" spans="1:13" x14ac:dyDescent="0.25">
      <c r="A83" s="6" t="s">
        <v>6</v>
      </c>
      <c r="B83" s="6" t="s">
        <v>79</v>
      </c>
      <c r="C83" s="6" t="s">
        <v>80</v>
      </c>
      <c r="D83" s="6" t="s">
        <v>597</v>
      </c>
      <c r="E83" s="6" t="s">
        <v>598</v>
      </c>
      <c r="F83" s="9">
        <v>45685</v>
      </c>
      <c r="G83" s="9">
        <v>45715</v>
      </c>
      <c r="H83" s="10">
        <v>1</v>
      </c>
      <c r="I83" s="11">
        <v>5154.13</v>
      </c>
      <c r="J83" s="6" t="s">
        <v>23</v>
      </c>
      <c r="K83" s="6" t="s">
        <v>21</v>
      </c>
      <c r="L83" s="6" t="s">
        <v>21</v>
      </c>
      <c r="M83" s="2">
        <f t="shared" si="1"/>
        <v>5154.13</v>
      </c>
    </row>
    <row r="84" spans="1:13" x14ac:dyDescent="0.25">
      <c r="A84" s="6" t="s">
        <v>6</v>
      </c>
      <c r="B84" s="6" t="s">
        <v>79</v>
      </c>
      <c r="C84" s="6" t="s">
        <v>80</v>
      </c>
      <c r="D84" s="6" t="s">
        <v>599</v>
      </c>
      <c r="E84" s="6" t="s">
        <v>600</v>
      </c>
      <c r="F84" s="9">
        <v>45685</v>
      </c>
      <c r="G84" s="9">
        <v>45715</v>
      </c>
      <c r="H84" s="10">
        <v>1</v>
      </c>
      <c r="I84" s="11">
        <v>151939.97</v>
      </c>
      <c r="J84" s="6" t="s">
        <v>23</v>
      </c>
      <c r="K84" s="6" t="s">
        <v>21</v>
      </c>
      <c r="L84" s="6" t="s">
        <v>21</v>
      </c>
      <c r="M84" s="2">
        <f t="shared" si="1"/>
        <v>151939.97</v>
      </c>
    </row>
    <row r="85" spans="1:13" x14ac:dyDescent="0.25">
      <c r="A85" s="6" t="s">
        <v>6</v>
      </c>
      <c r="B85" s="6" t="s">
        <v>79</v>
      </c>
      <c r="C85" s="6" t="s">
        <v>80</v>
      </c>
      <c r="D85" s="6" t="s">
        <v>601</v>
      </c>
      <c r="E85" s="6" t="s">
        <v>602</v>
      </c>
      <c r="F85" s="9">
        <v>45685</v>
      </c>
      <c r="G85" s="9">
        <v>45715</v>
      </c>
      <c r="H85" s="10">
        <v>1</v>
      </c>
      <c r="I85" s="11">
        <v>27413.18</v>
      </c>
      <c r="J85" s="6" t="s">
        <v>23</v>
      </c>
      <c r="K85" s="6" t="s">
        <v>21</v>
      </c>
      <c r="L85" s="6" t="s">
        <v>21</v>
      </c>
      <c r="M85" s="2">
        <f t="shared" si="1"/>
        <v>27413.18</v>
      </c>
    </row>
    <row r="86" spans="1:13" x14ac:dyDescent="0.25">
      <c r="A86" s="6" t="s">
        <v>6</v>
      </c>
      <c r="B86" s="6" t="s">
        <v>79</v>
      </c>
      <c r="C86" s="6" t="s">
        <v>80</v>
      </c>
      <c r="D86" s="6" t="s">
        <v>603</v>
      </c>
      <c r="E86" s="6" t="s">
        <v>604</v>
      </c>
      <c r="F86" s="9">
        <v>45685</v>
      </c>
      <c r="G86" s="9">
        <v>45715</v>
      </c>
      <c r="H86" s="10">
        <v>1</v>
      </c>
      <c r="I86" s="11">
        <v>1080.8599999999999</v>
      </c>
      <c r="J86" s="6" t="s">
        <v>23</v>
      </c>
      <c r="K86" s="6" t="s">
        <v>21</v>
      </c>
      <c r="L86" s="6" t="s">
        <v>21</v>
      </c>
      <c r="M86" s="2">
        <f t="shared" si="1"/>
        <v>1080.8599999999999</v>
      </c>
    </row>
    <row r="87" spans="1:13" x14ac:dyDescent="0.25">
      <c r="A87" s="6" t="s">
        <v>6</v>
      </c>
      <c r="B87" s="6" t="s">
        <v>79</v>
      </c>
      <c r="C87" s="6" t="s">
        <v>80</v>
      </c>
      <c r="D87" s="6" t="s">
        <v>605</v>
      </c>
      <c r="E87" s="6" t="s">
        <v>606</v>
      </c>
      <c r="F87" s="9">
        <v>45685</v>
      </c>
      <c r="G87" s="9">
        <v>45715</v>
      </c>
      <c r="H87" s="10">
        <v>1</v>
      </c>
      <c r="I87" s="11">
        <v>4837.0600000000004</v>
      </c>
      <c r="J87" s="6" t="s">
        <v>23</v>
      </c>
      <c r="K87" s="6" t="s">
        <v>21</v>
      </c>
      <c r="L87" s="6" t="s">
        <v>21</v>
      </c>
      <c r="M87" s="2">
        <f t="shared" si="1"/>
        <v>4837.0600000000004</v>
      </c>
    </row>
    <row r="88" spans="1:13" x14ac:dyDescent="0.25">
      <c r="A88" s="6" t="s">
        <v>6</v>
      </c>
      <c r="B88" s="6" t="s">
        <v>79</v>
      </c>
      <c r="C88" s="6" t="s">
        <v>80</v>
      </c>
      <c r="D88" s="6" t="s">
        <v>607</v>
      </c>
      <c r="E88" s="6" t="s">
        <v>608</v>
      </c>
      <c r="F88" s="9">
        <v>45685</v>
      </c>
      <c r="G88" s="9">
        <v>45715</v>
      </c>
      <c r="H88" s="10">
        <v>1</v>
      </c>
      <c r="I88" s="11">
        <v>6169.26</v>
      </c>
      <c r="J88" s="6" t="s">
        <v>23</v>
      </c>
      <c r="K88" s="6" t="s">
        <v>21</v>
      </c>
      <c r="L88" s="6" t="s">
        <v>21</v>
      </c>
      <c r="M88" s="2">
        <f t="shared" si="1"/>
        <v>6169.26</v>
      </c>
    </row>
    <row r="89" spans="1:13" x14ac:dyDescent="0.25">
      <c r="A89" s="6" t="s">
        <v>6</v>
      </c>
      <c r="B89" s="6" t="s">
        <v>79</v>
      </c>
      <c r="C89" s="6" t="s">
        <v>80</v>
      </c>
      <c r="D89" s="6" t="s">
        <v>609</v>
      </c>
      <c r="E89" s="6" t="s">
        <v>610</v>
      </c>
      <c r="F89" s="9">
        <v>45685</v>
      </c>
      <c r="G89" s="9">
        <v>45715</v>
      </c>
      <c r="H89" s="10">
        <v>1</v>
      </c>
      <c r="I89" s="11">
        <v>493.31</v>
      </c>
      <c r="J89" s="6" t="s">
        <v>23</v>
      </c>
      <c r="K89" s="6" t="s">
        <v>21</v>
      </c>
      <c r="L89" s="6" t="s">
        <v>21</v>
      </c>
      <c r="M89" s="2">
        <f t="shared" si="1"/>
        <v>493.31</v>
      </c>
    </row>
    <row r="90" spans="1:13" x14ac:dyDescent="0.25">
      <c r="A90" s="6" t="s">
        <v>6</v>
      </c>
      <c r="B90" s="6" t="s">
        <v>79</v>
      </c>
      <c r="C90" s="6" t="s">
        <v>80</v>
      </c>
      <c r="D90" s="6" t="s">
        <v>611</v>
      </c>
      <c r="E90" s="6" t="s">
        <v>612</v>
      </c>
      <c r="F90" s="9">
        <v>45685</v>
      </c>
      <c r="G90" s="9">
        <v>45715</v>
      </c>
      <c r="H90" s="10">
        <v>1</v>
      </c>
      <c r="I90" s="11">
        <v>1972.2</v>
      </c>
      <c r="J90" s="6" t="s">
        <v>23</v>
      </c>
      <c r="K90" s="6" t="s">
        <v>21</v>
      </c>
      <c r="L90" s="6" t="s">
        <v>21</v>
      </c>
      <c r="M90" s="2">
        <f t="shared" si="1"/>
        <v>1972.2</v>
      </c>
    </row>
    <row r="91" spans="1:13" x14ac:dyDescent="0.25">
      <c r="A91" s="6" t="s">
        <v>6</v>
      </c>
      <c r="B91" s="6" t="s">
        <v>79</v>
      </c>
      <c r="C91" s="6" t="s">
        <v>80</v>
      </c>
      <c r="D91" s="6" t="s">
        <v>613</v>
      </c>
      <c r="E91" s="6" t="s">
        <v>614</v>
      </c>
      <c r="F91" s="9">
        <v>45685</v>
      </c>
      <c r="G91" s="9">
        <v>45715</v>
      </c>
      <c r="H91" s="10">
        <v>1</v>
      </c>
      <c r="I91" s="11">
        <v>1702.67</v>
      </c>
      <c r="J91" s="6" t="s">
        <v>23</v>
      </c>
      <c r="K91" s="6" t="s">
        <v>21</v>
      </c>
      <c r="L91" s="6" t="s">
        <v>21</v>
      </c>
      <c r="M91" s="2">
        <f t="shared" si="1"/>
        <v>1702.67</v>
      </c>
    </row>
    <row r="92" spans="1:13" x14ac:dyDescent="0.25">
      <c r="A92" s="6" t="s">
        <v>6</v>
      </c>
      <c r="B92" s="6" t="s">
        <v>79</v>
      </c>
      <c r="C92" s="6" t="s">
        <v>80</v>
      </c>
      <c r="D92" s="6" t="s">
        <v>615</v>
      </c>
      <c r="E92" s="6" t="s">
        <v>616</v>
      </c>
      <c r="F92" s="9">
        <v>45685</v>
      </c>
      <c r="G92" s="9">
        <v>45715</v>
      </c>
      <c r="H92" s="10">
        <v>1</v>
      </c>
      <c r="I92" s="11">
        <v>748.75</v>
      </c>
      <c r="J92" s="6" t="s">
        <v>23</v>
      </c>
      <c r="K92" s="6" t="s">
        <v>21</v>
      </c>
      <c r="L92" s="6" t="s">
        <v>21</v>
      </c>
      <c r="M92" s="2">
        <f t="shared" si="1"/>
        <v>748.75</v>
      </c>
    </row>
    <row r="93" spans="1:13" x14ac:dyDescent="0.25">
      <c r="A93" s="6" t="s">
        <v>6</v>
      </c>
      <c r="B93" s="6" t="s">
        <v>79</v>
      </c>
      <c r="C93" s="6" t="s">
        <v>80</v>
      </c>
      <c r="D93" s="6" t="s">
        <v>617</v>
      </c>
      <c r="E93" s="6" t="s">
        <v>618</v>
      </c>
      <c r="F93" s="9">
        <v>45685</v>
      </c>
      <c r="G93" s="9">
        <v>45715</v>
      </c>
      <c r="H93" s="10">
        <v>1</v>
      </c>
      <c r="I93" s="11">
        <v>748.75</v>
      </c>
      <c r="J93" s="6" t="s">
        <v>23</v>
      </c>
      <c r="K93" s="6" t="s">
        <v>21</v>
      </c>
      <c r="L93" s="6" t="s">
        <v>21</v>
      </c>
      <c r="M93" s="2">
        <f t="shared" si="1"/>
        <v>748.75</v>
      </c>
    </row>
    <row r="94" spans="1:13" x14ac:dyDescent="0.25">
      <c r="A94" s="6" t="s">
        <v>6</v>
      </c>
      <c r="B94" s="6" t="s">
        <v>79</v>
      </c>
      <c r="C94" s="6" t="s">
        <v>80</v>
      </c>
      <c r="D94" s="6" t="s">
        <v>619</v>
      </c>
      <c r="E94" s="6" t="s">
        <v>620</v>
      </c>
      <c r="F94" s="9">
        <v>45685</v>
      </c>
      <c r="G94" s="9">
        <v>45715</v>
      </c>
      <c r="H94" s="10">
        <v>1</v>
      </c>
      <c r="I94" s="11">
        <v>57.43</v>
      </c>
      <c r="J94" s="6" t="s">
        <v>23</v>
      </c>
      <c r="K94" s="6" t="s">
        <v>21</v>
      </c>
      <c r="L94" s="6" t="s">
        <v>21</v>
      </c>
      <c r="M94" s="2">
        <f t="shared" si="1"/>
        <v>57.43</v>
      </c>
    </row>
    <row r="95" spans="1:13" x14ac:dyDescent="0.25">
      <c r="A95" s="6" t="s">
        <v>6</v>
      </c>
      <c r="B95" s="6" t="s">
        <v>79</v>
      </c>
      <c r="C95" s="6" t="s">
        <v>80</v>
      </c>
      <c r="D95" s="6" t="s">
        <v>621</v>
      </c>
      <c r="E95" s="6" t="s">
        <v>622</v>
      </c>
      <c r="F95" s="9">
        <v>45685</v>
      </c>
      <c r="G95" s="9">
        <v>45715</v>
      </c>
      <c r="H95" s="10">
        <v>1</v>
      </c>
      <c r="I95" s="11">
        <v>124.52</v>
      </c>
      <c r="J95" s="6" t="s">
        <v>23</v>
      </c>
      <c r="K95" s="6" t="s">
        <v>21</v>
      </c>
      <c r="L95" s="6" t="s">
        <v>21</v>
      </c>
      <c r="M95" s="2">
        <f t="shared" si="1"/>
        <v>124.52</v>
      </c>
    </row>
    <row r="96" spans="1:13" x14ac:dyDescent="0.25">
      <c r="A96" s="6" t="s">
        <v>6</v>
      </c>
      <c r="B96" s="6" t="s">
        <v>79</v>
      </c>
      <c r="C96" s="6" t="s">
        <v>80</v>
      </c>
      <c r="D96" s="6" t="s">
        <v>623</v>
      </c>
      <c r="E96" s="6" t="s">
        <v>624</v>
      </c>
      <c r="F96" s="9">
        <v>45685</v>
      </c>
      <c r="G96" s="9">
        <v>45715</v>
      </c>
      <c r="H96" s="10">
        <v>1</v>
      </c>
      <c r="I96" s="11">
        <v>593.92999999999995</v>
      </c>
      <c r="J96" s="6" t="s">
        <v>23</v>
      </c>
      <c r="K96" s="6" t="s">
        <v>21</v>
      </c>
      <c r="L96" s="6" t="s">
        <v>21</v>
      </c>
      <c r="M96" s="2">
        <f t="shared" si="1"/>
        <v>593.92999999999995</v>
      </c>
    </row>
    <row r="97" spans="1:13" x14ac:dyDescent="0.25">
      <c r="A97" s="6" t="s">
        <v>6</v>
      </c>
      <c r="B97" s="6" t="s">
        <v>79</v>
      </c>
      <c r="C97" s="6" t="s">
        <v>80</v>
      </c>
      <c r="D97" s="6" t="s">
        <v>625</v>
      </c>
      <c r="E97" s="6" t="s">
        <v>626</v>
      </c>
      <c r="F97" s="9">
        <v>45685</v>
      </c>
      <c r="G97" s="9">
        <v>45715</v>
      </c>
      <c r="H97" s="10">
        <v>1</v>
      </c>
      <c r="I97" s="11">
        <v>9937.24</v>
      </c>
      <c r="J97" s="6" t="s">
        <v>23</v>
      </c>
      <c r="K97" s="6" t="s">
        <v>21</v>
      </c>
      <c r="L97" s="6" t="s">
        <v>21</v>
      </c>
      <c r="M97" s="2">
        <f t="shared" si="1"/>
        <v>9937.24</v>
      </c>
    </row>
    <row r="98" spans="1:13" x14ac:dyDescent="0.25">
      <c r="A98" s="6" t="s">
        <v>6</v>
      </c>
      <c r="B98" s="6" t="s">
        <v>79</v>
      </c>
      <c r="C98" s="6" t="s">
        <v>80</v>
      </c>
      <c r="D98" s="6" t="s">
        <v>627</v>
      </c>
      <c r="E98" s="6" t="s">
        <v>628</v>
      </c>
      <c r="F98" s="9">
        <v>45685</v>
      </c>
      <c r="G98" s="9">
        <v>45715</v>
      </c>
      <c r="H98" s="10">
        <v>1</v>
      </c>
      <c r="I98" s="11">
        <v>7511.66</v>
      </c>
      <c r="J98" s="6" t="s">
        <v>23</v>
      </c>
      <c r="K98" s="6" t="s">
        <v>21</v>
      </c>
      <c r="L98" s="6" t="s">
        <v>21</v>
      </c>
      <c r="M98" s="2">
        <f t="shared" si="1"/>
        <v>7511.66</v>
      </c>
    </row>
    <row r="99" spans="1:13" x14ac:dyDescent="0.25">
      <c r="A99" s="6" t="s">
        <v>6</v>
      </c>
      <c r="B99" s="6" t="s">
        <v>79</v>
      </c>
      <c r="C99" s="6" t="s">
        <v>80</v>
      </c>
      <c r="D99" s="6" t="s">
        <v>629</v>
      </c>
      <c r="E99" s="6" t="s">
        <v>630</v>
      </c>
      <c r="F99" s="9">
        <v>45685</v>
      </c>
      <c r="G99" s="9">
        <v>45715</v>
      </c>
      <c r="H99" s="10">
        <v>1</v>
      </c>
      <c r="I99" s="11">
        <v>908.57</v>
      </c>
      <c r="J99" s="6" t="s">
        <v>23</v>
      </c>
      <c r="K99" s="6" t="s">
        <v>21</v>
      </c>
      <c r="L99" s="6" t="s">
        <v>21</v>
      </c>
      <c r="M99" s="2">
        <f t="shared" si="1"/>
        <v>908.57</v>
      </c>
    </row>
    <row r="100" spans="1:13" x14ac:dyDescent="0.25">
      <c r="A100" s="6" t="s">
        <v>6</v>
      </c>
      <c r="B100" s="6" t="s">
        <v>79</v>
      </c>
      <c r="C100" s="6" t="s">
        <v>80</v>
      </c>
      <c r="D100" s="6" t="s">
        <v>631</v>
      </c>
      <c r="E100" s="6" t="s">
        <v>632</v>
      </c>
      <c r="F100" s="9">
        <v>45685</v>
      </c>
      <c r="G100" s="9">
        <v>45715</v>
      </c>
      <c r="H100" s="10">
        <v>1</v>
      </c>
      <c r="I100" s="11">
        <v>45.9</v>
      </c>
      <c r="J100" s="6" t="s">
        <v>23</v>
      </c>
      <c r="K100" s="6" t="s">
        <v>21</v>
      </c>
      <c r="L100" s="6" t="s">
        <v>21</v>
      </c>
      <c r="M100" s="2">
        <f t="shared" si="1"/>
        <v>45.9</v>
      </c>
    </row>
    <row r="101" spans="1:13" x14ac:dyDescent="0.25">
      <c r="A101" s="6" t="s">
        <v>6</v>
      </c>
      <c r="B101" s="6" t="s">
        <v>79</v>
      </c>
      <c r="C101" s="6" t="s">
        <v>80</v>
      </c>
      <c r="D101" s="6" t="s">
        <v>633</v>
      </c>
      <c r="E101" s="6" t="s">
        <v>634</v>
      </c>
      <c r="F101" s="9">
        <v>45685</v>
      </c>
      <c r="G101" s="9">
        <v>45715</v>
      </c>
      <c r="H101" s="10">
        <v>1</v>
      </c>
      <c r="I101" s="11">
        <v>5904.38</v>
      </c>
      <c r="J101" s="6" t="s">
        <v>23</v>
      </c>
      <c r="K101" s="6" t="s">
        <v>21</v>
      </c>
      <c r="L101" s="6" t="s">
        <v>21</v>
      </c>
      <c r="M101" s="2">
        <f t="shared" si="1"/>
        <v>5904.38</v>
      </c>
    </row>
    <row r="102" spans="1:13" x14ac:dyDescent="0.25">
      <c r="A102" s="6" t="s">
        <v>6</v>
      </c>
      <c r="B102" s="6" t="s">
        <v>79</v>
      </c>
      <c r="C102" s="6" t="s">
        <v>80</v>
      </c>
      <c r="D102" s="6" t="s">
        <v>635</v>
      </c>
      <c r="E102" s="6" t="s">
        <v>636</v>
      </c>
      <c r="F102" s="9">
        <v>45685</v>
      </c>
      <c r="G102" s="9">
        <v>45715</v>
      </c>
      <c r="H102" s="10">
        <v>1</v>
      </c>
      <c r="I102" s="11">
        <v>121.17</v>
      </c>
      <c r="J102" s="6" t="s">
        <v>23</v>
      </c>
      <c r="K102" s="6" t="s">
        <v>21</v>
      </c>
      <c r="L102" s="6" t="s">
        <v>21</v>
      </c>
      <c r="M102" s="2">
        <f t="shared" si="1"/>
        <v>121.17</v>
      </c>
    </row>
    <row r="103" spans="1:13" x14ac:dyDescent="0.25">
      <c r="A103" s="6" t="s">
        <v>6</v>
      </c>
      <c r="B103" s="6" t="s">
        <v>79</v>
      </c>
      <c r="C103" s="6" t="s">
        <v>80</v>
      </c>
      <c r="D103" s="6" t="s">
        <v>90</v>
      </c>
      <c r="E103" s="6" t="s">
        <v>91</v>
      </c>
      <c r="F103" s="9">
        <v>45072</v>
      </c>
      <c r="G103" s="9">
        <v>45102</v>
      </c>
      <c r="H103" s="10">
        <v>614</v>
      </c>
      <c r="I103" s="11">
        <v>2261.6999999999998</v>
      </c>
      <c r="J103" s="6" t="s">
        <v>23</v>
      </c>
      <c r="K103" s="6" t="s">
        <v>92</v>
      </c>
      <c r="L103" s="6" t="s">
        <v>21</v>
      </c>
      <c r="M103" s="2">
        <f t="shared" si="1"/>
        <v>2261.6999999999998</v>
      </c>
    </row>
    <row r="104" spans="1:13" x14ac:dyDescent="0.25">
      <c r="A104" s="6" t="s">
        <v>6</v>
      </c>
      <c r="B104" s="6" t="s">
        <v>79</v>
      </c>
      <c r="C104" s="6" t="s">
        <v>80</v>
      </c>
      <c r="D104" s="6" t="s">
        <v>750</v>
      </c>
      <c r="E104" s="6" t="s">
        <v>751</v>
      </c>
      <c r="F104" s="9">
        <v>45702</v>
      </c>
      <c r="G104" s="9">
        <v>45732</v>
      </c>
      <c r="H104" s="12">
        <v>-16</v>
      </c>
      <c r="I104" s="11">
        <v>366102.52999999997</v>
      </c>
      <c r="J104" s="6" t="s">
        <v>23</v>
      </c>
      <c r="K104" s="6" t="s">
        <v>21</v>
      </c>
      <c r="L104" s="6" t="s">
        <v>21</v>
      </c>
      <c r="M104" s="2" t="str">
        <f t="shared" si="1"/>
        <v/>
      </c>
    </row>
    <row r="105" spans="1:13" x14ac:dyDescent="0.25">
      <c r="A105" s="6" t="s">
        <v>6</v>
      </c>
      <c r="B105" s="6" t="s">
        <v>79</v>
      </c>
      <c r="C105" s="6" t="s">
        <v>80</v>
      </c>
      <c r="D105" s="6" t="s">
        <v>93</v>
      </c>
      <c r="E105" s="6" t="s">
        <v>94</v>
      </c>
      <c r="F105" s="9">
        <v>45657</v>
      </c>
      <c r="G105" s="9">
        <v>45687</v>
      </c>
      <c r="H105" s="10">
        <v>29</v>
      </c>
      <c r="I105" s="11">
        <v>534.65</v>
      </c>
      <c r="J105" s="6" t="s">
        <v>23</v>
      </c>
      <c r="K105" s="6" t="s">
        <v>21</v>
      </c>
      <c r="L105" s="6" t="s">
        <v>21</v>
      </c>
      <c r="M105" s="2">
        <f t="shared" si="1"/>
        <v>534.65</v>
      </c>
    </row>
    <row r="106" spans="1:13" x14ac:dyDescent="0.25">
      <c r="A106" s="6" t="s">
        <v>6</v>
      </c>
      <c r="B106" s="6" t="s">
        <v>79</v>
      </c>
      <c r="C106" s="6" t="s">
        <v>80</v>
      </c>
      <c r="D106" s="6" t="s">
        <v>752</v>
      </c>
      <c r="E106" s="6" t="s">
        <v>753</v>
      </c>
      <c r="F106" s="9">
        <v>45714</v>
      </c>
      <c r="G106" s="9">
        <v>45744</v>
      </c>
      <c r="H106" s="12">
        <v>-28</v>
      </c>
      <c r="I106" s="11">
        <v>2402.0700000000002</v>
      </c>
      <c r="J106" s="6" t="s">
        <v>23</v>
      </c>
      <c r="K106" s="6" t="s">
        <v>21</v>
      </c>
      <c r="L106" s="6" t="s">
        <v>21</v>
      </c>
      <c r="M106" s="2" t="str">
        <f t="shared" si="1"/>
        <v/>
      </c>
    </row>
    <row r="107" spans="1:13" x14ac:dyDescent="0.25">
      <c r="A107" s="6" t="s">
        <v>6</v>
      </c>
      <c r="B107" s="6" t="s">
        <v>79</v>
      </c>
      <c r="C107" s="6" t="s">
        <v>80</v>
      </c>
      <c r="D107" s="6" t="s">
        <v>754</v>
      </c>
      <c r="E107" s="6" t="s">
        <v>755</v>
      </c>
      <c r="F107" s="9">
        <v>45705</v>
      </c>
      <c r="G107" s="9">
        <v>45735</v>
      </c>
      <c r="H107" s="12">
        <v>-19</v>
      </c>
      <c r="I107" s="11">
        <v>67754.12</v>
      </c>
      <c r="J107" s="6" t="s">
        <v>23</v>
      </c>
      <c r="K107" s="6" t="s">
        <v>21</v>
      </c>
      <c r="L107" s="6" t="s">
        <v>21</v>
      </c>
      <c r="M107" s="2" t="str">
        <f t="shared" si="1"/>
        <v/>
      </c>
    </row>
    <row r="108" spans="1:13" x14ac:dyDescent="0.25">
      <c r="A108" s="6" t="s">
        <v>6</v>
      </c>
      <c r="B108" s="6" t="s">
        <v>79</v>
      </c>
      <c r="C108" s="6" t="s">
        <v>80</v>
      </c>
      <c r="D108" s="6" t="s">
        <v>756</v>
      </c>
      <c r="E108" s="6" t="s">
        <v>757</v>
      </c>
      <c r="F108" s="9">
        <v>45705</v>
      </c>
      <c r="G108" s="9">
        <v>45735</v>
      </c>
      <c r="H108" s="12">
        <v>-19</v>
      </c>
      <c r="I108" s="11">
        <v>107190.23</v>
      </c>
      <c r="J108" s="6" t="s">
        <v>23</v>
      </c>
      <c r="K108" s="6" t="s">
        <v>21</v>
      </c>
      <c r="L108" s="6" t="s">
        <v>21</v>
      </c>
      <c r="M108" s="2" t="str">
        <f t="shared" si="1"/>
        <v/>
      </c>
    </row>
    <row r="109" spans="1:13" x14ac:dyDescent="0.25">
      <c r="A109" s="6" t="s">
        <v>6</v>
      </c>
      <c r="B109" s="6" t="s">
        <v>79</v>
      </c>
      <c r="C109" s="6" t="s">
        <v>80</v>
      </c>
      <c r="D109" s="6" t="s">
        <v>758</v>
      </c>
      <c r="E109" s="6" t="s">
        <v>759</v>
      </c>
      <c r="F109" s="9">
        <v>45699</v>
      </c>
      <c r="G109" s="9">
        <v>45729</v>
      </c>
      <c r="H109" s="12">
        <v>-13</v>
      </c>
      <c r="I109" s="11">
        <v>19624.39</v>
      </c>
      <c r="J109" s="6" t="s">
        <v>23</v>
      </c>
      <c r="K109" s="6" t="s">
        <v>21</v>
      </c>
      <c r="L109" s="6" t="s">
        <v>21</v>
      </c>
      <c r="M109" s="2" t="str">
        <f t="shared" si="1"/>
        <v/>
      </c>
    </row>
    <row r="110" spans="1:13" x14ac:dyDescent="0.25">
      <c r="A110" s="6" t="s">
        <v>6</v>
      </c>
      <c r="B110" s="6" t="s">
        <v>79</v>
      </c>
      <c r="C110" s="6" t="s">
        <v>80</v>
      </c>
      <c r="D110" s="6" t="s">
        <v>760</v>
      </c>
      <c r="E110" s="6" t="s">
        <v>761</v>
      </c>
      <c r="F110" s="9">
        <v>45699</v>
      </c>
      <c r="G110" s="9">
        <v>45729</v>
      </c>
      <c r="H110" s="12">
        <v>-13</v>
      </c>
      <c r="I110" s="11">
        <v>1472.71</v>
      </c>
      <c r="J110" s="6" t="s">
        <v>23</v>
      </c>
      <c r="K110" s="6" t="s">
        <v>21</v>
      </c>
      <c r="L110" s="6" t="s">
        <v>21</v>
      </c>
      <c r="M110" s="2" t="str">
        <f t="shared" si="1"/>
        <v/>
      </c>
    </row>
    <row r="111" spans="1:13" x14ac:dyDescent="0.25">
      <c r="A111" s="6" t="s">
        <v>6</v>
      </c>
      <c r="B111" s="6" t="s">
        <v>79</v>
      </c>
      <c r="C111" s="6" t="s">
        <v>80</v>
      </c>
      <c r="D111" s="6" t="s">
        <v>762</v>
      </c>
      <c r="E111" s="6" t="s">
        <v>763</v>
      </c>
      <c r="F111" s="9">
        <v>45699</v>
      </c>
      <c r="G111" s="9">
        <v>45729</v>
      </c>
      <c r="H111" s="12">
        <v>-13</v>
      </c>
      <c r="I111" s="11">
        <v>334.28</v>
      </c>
      <c r="J111" s="6" t="s">
        <v>23</v>
      </c>
      <c r="K111" s="6" t="s">
        <v>21</v>
      </c>
      <c r="L111" s="6" t="s">
        <v>21</v>
      </c>
      <c r="M111" s="2" t="str">
        <f t="shared" si="1"/>
        <v/>
      </c>
    </row>
    <row r="112" spans="1:13" x14ac:dyDescent="0.25">
      <c r="A112" s="6" t="s">
        <v>6</v>
      </c>
      <c r="B112" s="6" t="s">
        <v>79</v>
      </c>
      <c r="C112" s="6" t="s">
        <v>80</v>
      </c>
      <c r="D112" s="6" t="s">
        <v>764</v>
      </c>
      <c r="E112" s="6" t="s">
        <v>765</v>
      </c>
      <c r="F112" s="9">
        <v>45699</v>
      </c>
      <c r="G112" s="9">
        <v>45729</v>
      </c>
      <c r="H112" s="12">
        <v>-13</v>
      </c>
      <c r="I112" s="11">
        <v>1046.24</v>
      </c>
      <c r="J112" s="6" t="s">
        <v>23</v>
      </c>
      <c r="K112" s="6" t="s">
        <v>21</v>
      </c>
      <c r="L112" s="6" t="s">
        <v>21</v>
      </c>
      <c r="M112" s="2" t="str">
        <f t="shared" si="1"/>
        <v/>
      </c>
    </row>
    <row r="113" spans="1:13" x14ac:dyDescent="0.25">
      <c r="A113" s="6" t="s">
        <v>6</v>
      </c>
      <c r="B113" s="6" t="s">
        <v>79</v>
      </c>
      <c r="C113" s="6" t="s">
        <v>80</v>
      </c>
      <c r="D113" s="6" t="s">
        <v>766</v>
      </c>
      <c r="E113" s="6" t="s">
        <v>767</v>
      </c>
      <c r="F113" s="9">
        <v>45699</v>
      </c>
      <c r="G113" s="9">
        <v>45729</v>
      </c>
      <c r="H113" s="12">
        <v>-13</v>
      </c>
      <c r="I113" s="11">
        <v>11390.82</v>
      </c>
      <c r="J113" s="6" t="s">
        <v>23</v>
      </c>
      <c r="K113" s="6" t="s">
        <v>21</v>
      </c>
      <c r="L113" s="6" t="s">
        <v>21</v>
      </c>
      <c r="M113" s="2" t="str">
        <f t="shared" si="1"/>
        <v/>
      </c>
    </row>
    <row r="114" spans="1:13" x14ac:dyDescent="0.25">
      <c r="A114" s="6" t="s">
        <v>6</v>
      </c>
      <c r="B114" s="6" t="s">
        <v>79</v>
      </c>
      <c r="C114" s="6" t="s">
        <v>80</v>
      </c>
      <c r="D114" s="6" t="s">
        <v>768</v>
      </c>
      <c r="E114" s="6" t="s">
        <v>769</v>
      </c>
      <c r="F114" s="9">
        <v>45699</v>
      </c>
      <c r="G114" s="9">
        <v>45729</v>
      </c>
      <c r="H114" s="12">
        <v>-13</v>
      </c>
      <c r="I114" s="11">
        <v>11419.46</v>
      </c>
      <c r="J114" s="6" t="s">
        <v>23</v>
      </c>
      <c r="K114" s="6" t="s">
        <v>21</v>
      </c>
      <c r="L114" s="6" t="s">
        <v>21</v>
      </c>
      <c r="M114" s="2" t="str">
        <f t="shared" si="1"/>
        <v/>
      </c>
    </row>
    <row r="115" spans="1:13" x14ac:dyDescent="0.25">
      <c r="A115" s="6" t="s">
        <v>6</v>
      </c>
      <c r="B115" s="6" t="s">
        <v>79</v>
      </c>
      <c r="C115" s="6" t="s">
        <v>80</v>
      </c>
      <c r="D115" s="6" t="s">
        <v>770</v>
      </c>
      <c r="E115" s="6" t="s">
        <v>771</v>
      </c>
      <c r="F115" s="9">
        <v>45699</v>
      </c>
      <c r="G115" s="9">
        <v>45729</v>
      </c>
      <c r="H115" s="12">
        <v>-13</v>
      </c>
      <c r="I115" s="11">
        <v>14247.17</v>
      </c>
      <c r="J115" s="6" t="s">
        <v>23</v>
      </c>
      <c r="K115" s="6" t="s">
        <v>21</v>
      </c>
      <c r="L115" s="6" t="s">
        <v>21</v>
      </c>
      <c r="M115" s="2" t="str">
        <f t="shared" si="1"/>
        <v/>
      </c>
    </row>
    <row r="116" spans="1:13" x14ac:dyDescent="0.25">
      <c r="A116" s="6" t="s">
        <v>6</v>
      </c>
      <c r="B116" s="6" t="s">
        <v>79</v>
      </c>
      <c r="C116" s="6" t="s">
        <v>80</v>
      </c>
      <c r="D116" s="6" t="s">
        <v>772</v>
      </c>
      <c r="E116" s="6" t="s">
        <v>773</v>
      </c>
      <c r="F116" s="9">
        <v>45699</v>
      </c>
      <c r="G116" s="9">
        <v>45729</v>
      </c>
      <c r="H116" s="12">
        <v>-13</v>
      </c>
      <c r="I116" s="11">
        <v>11389.81</v>
      </c>
      <c r="J116" s="6" t="s">
        <v>23</v>
      </c>
      <c r="K116" s="6" t="s">
        <v>21</v>
      </c>
      <c r="L116" s="6" t="s">
        <v>21</v>
      </c>
      <c r="M116" s="2" t="str">
        <f t="shared" si="1"/>
        <v/>
      </c>
    </row>
    <row r="117" spans="1:13" x14ac:dyDescent="0.25">
      <c r="A117" s="6" t="s">
        <v>6</v>
      </c>
      <c r="B117" s="6" t="s">
        <v>79</v>
      </c>
      <c r="C117" s="6" t="s">
        <v>80</v>
      </c>
      <c r="D117" s="6" t="s">
        <v>774</v>
      </c>
      <c r="E117" s="6" t="s">
        <v>775</v>
      </c>
      <c r="F117" s="9">
        <v>45699</v>
      </c>
      <c r="G117" s="9">
        <v>45729</v>
      </c>
      <c r="H117" s="12">
        <v>-13</v>
      </c>
      <c r="I117" s="11">
        <v>2069.06</v>
      </c>
      <c r="J117" s="6" t="s">
        <v>23</v>
      </c>
      <c r="K117" s="6" t="s">
        <v>21</v>
      </c>
      <c r="L117" s="6" t="s">
        <v>21</v>
      </c>
      <c r="M117" s="2" t="str">
        <f t="shared" si="1"/>
        <v/>
      </c>
    </row>
    <row r="118" spans="1:13" x14ac:dyDescent="0.25">
      <c r="A118" s="6" t="s">
        <v>6</v>
      </c>
      <c r="B118" s="6" t="s">
        <v>79</v>
      </c>
      <c r="C118" s="6" t="s">
        <v>80</v>
      </c>
      <c r="D118" s="6" t="s">
        <v>95</v>
      </c>
      <c r="E118" s="6" t="s">
        <v>96</v>
      </c>
      <c r="F118" s="9">
        <v>45572</v>
      </c>
      <c r="G118" s="9">
        <v>45602</v>
      </c>
      <c r="H118" s="10">
        <v>114</v>
      </c>
      <c r="I118" s="11">
        <v>703.2</v>
      </c>
      <c r="J118" s="6" t="s">
        <v>23</v>
      </c>
      <c r="K118" s="6" t="s">
        <v>21</v>
      </c>
      <c r="L118" s="6" t="s">
        <v>21</v>
      </c>
      <c r="M118" s="2">
        <f t="shared" si="1"/>
        <v>703.2</v>
      </c>
    </row>
    <row r="119" spans="1:13" x14ac:dyDescent="0.25">
      <c r="A119" s="6" t="s">
        <v>6</v>
      </c>
      <c r="B119" s="6" t="s">
        <v>79</v>
      </c>
      <c r="C119" s="6" t="s">
        <v>80</v>
      </c>
      <c r="D119" s="6" t="s">
        <v>97</v>
      </c>
      <c r="E119" s="6" t="s">
        <v>98</v>
      </c>
      <c r="F119" s="9">
        <v>45656</v>
      </c>
      <c r="G119" s="9">
        <v>45686</v>
      </c>
      <c r="H119" s="10">
        <v>30</v>
      </c>
      <c r="I119" s="11">
        <v>16604.16</v>
      </c>
      <c r="J119" s="6" t="s">
        <v>23</v>
      </c>
      <c r="K119" s="6" t="s">
        <v>21</v>
      </c>
      <c r="L119" s="6" t="s">
        <v>21</v>
      </c>
      <c r="M119" s="2">
        <f t="shared" si="1"/>
        <v>16604.16</v>
      </c>
    </row>
    <row r="120" spans="1:13" x14ac:dyDescent="0.25">
      <c r="A120" s="6" t="s">
        <v>6</v>
      </c>
      <c r="B120" s="6" t="s">
        <v>79</v>
      </c>
      <c r="C120" s="6" t="s">
        <v>80</v>
      </c>
      <c r="D120" s="6" t="s">
        <v>776</v>
      </c>
      <c r="E120" s="6" t="s">
        <v>777</v>
      </c>
      <c r="F120" s="9">
        <v>45702</v>
      </c>
      <c r="G120" s="9">
        <v>45732</v>
      </c>
      <c r="H120" s="12">
        <v>-16</v>
      </c>
      <c r="I120" s="11">
        <v>518.9</v>
      </c>
      <c r="J120" s="6" t="s">
        <v>23</v>
      </c>
      <c r="K120" s="6" t="s">
        <v>778</v>
      </c>
      <c r="L120" s="6" t="s">
        <v>21</v>
      </c>
      <c r="M120" s="2" t="str">
        <f t="shared" si="1"/>
        <v/>
      </c>
    </row>
    <row r="121" spans="1:13" x14ac:dyDescent="0.25">
      <c r="A121" s="6" t="s">
        <v>6</v>
      </c>
      <c r="B121" s="6" t="s">
        <v>99</v>
      </c>
      <c r="C121" s="6" t="s">
        <v>100</v>
      </c>
      <c r="D121" s="6" t="s">
        <v>101</v>
      </c>
      <c r="E121" s="6" t="s">
        <v>102</v>
      </c>
      <c r="F121" s="9">
        <v>45677</v>
      </c>
      <c r="G121" s="9">
        <v>45722</v>
      </c>
      <c r="H121" s="12">
        <v>-6</v>
      </c>
      <c r="I121" s="11">
        <v>3513.25</v>
      </c>
      <c r="J121" s="6" t="s">
        <v>23</v>
      </c>
      <c r="K121" s="6" t="s">
        <v>779</v>
      </c>
      <c r="L121" s="6" t="s">
        <v>21</v>
      </c>
      <c r="M121" s="2" t="str">
        <f t="shared" si="1"/>
        <v/>
      </c>
    </row>
    <row r="122" spans="1:13" x14ac:dyDescent="0.25">
      <c r="A122" s="6" t="s">
        <v>6</v>
      </c>
      <c r="B122" s="6" t="s">
        <v>780</v>
      </c>
      <c r="C122" s="6" t="s">
        <v>781</v>
      </c>
      <c r="D122" s="6" t="s">
        <v>782</v>
      </c>
      <c r="E122" s="6" t="s">
        <v>783</v>
      </c>
      <c r="F122" s="9">
        <v>45686</v>
      </c>
      <c r="G122" s="9">
        <v>45716</v>
      </c>
      <c r="H122" s="10">
        <v>0</v>
      </c>
      <c r="I122" s="11">
        <v>557030.68999999994</v>
      </c>
      <c r="J122" s="6" t="s">
        <v>23</v>
      </c>
      <c r="K122" s="6" t="s">
        <v>21</v>
      </c>
      <c r="L122" s="6" t="s">
        <v>21</v>
      </c>
      <c r="M122" s="2" t="str">
        <f t="shared" si="1"/>
        <v/>
      </c>
    </row>
    <row r="123" spans="1:13" x14ac:dyDescent="0.25">
      <c r="A123" s="6" t="s">
        <v>6</v>
      </c>
      <c r="B123" s="6" t="s">
        <v>103</v>
      </c>
      <c r="C123" s="6" t="s">
        <v>104</v>
      </c>
      <c r="D123" s="6" t="s">
        <v>105</v>
      </c>
      <c r="E123" s="6" t="s">
        <v>106</v>
      </c>
      <c r="F123" s="9">
        <v>45181</v>
      </c>
      <c r="G123" s="9">
        <v>45211</v>
      </c>
      <c r="H123" s="10">
        <v>505</v>
      </c>
      <c r="I123" s="11">
        <v>1451.22</v>
      </c>
      <c r="J123" s="6" t="s">
        <v>23</v>
      </c>
      <c r="K123" s="39" t="s">
        <v>107</v>
      </c>
      <c r="L123" s="6" t="s">
        <v>21</v>
      </c>
      <c r="M123" s="2">
        <f t="shared" si="1"/>
        <v>1451.22</v>
      </c>
    </row>
    <row r="124" spans="1:13" x14ac:dyDescent="0.25">
      <c r="A124" s="6" t="s">
        <v>6</v>
      </c>
      <c r="B124" s="6" t="s">
        <v>108</v>
      </c>
      <c r="C124" s="6" t="s">
        <v>109</v>
      </c>
      <c r="D124" s="6" t="s">
        <v>784</v>
      </c>
      <c r="E124" s="6" t="s">
        <v>785</v>
      </c>
      <c r="F124" s="9">
        <v>45688</v>
      </c>
      <c r="G124" s="9">
        <v>45718</v>
      </c>
      <c r="H124" s="12">
        <v>-2</v>
      </c>
      <c r="I124" s="11">
        <v>791.94999999999993</v>
      </c>
      <c r="J124" s="6" t="s">
        <v>23</v>
      </c>
      <c r="K124" s="6" t="s">
        <v>21</v>
      </c>
      <c r="L124" s="6" t="s">
        <v>21</v>
      </c>
      <c r="M124" s="2" t="str">
        <f t="shared" si="1"/>
        <v/>
      </c>
    </row>
    <row r="125" spans="1:13" x14ac:dyDescent="0.25">
      <c r="A125" s="6" t="s">
        <v>6</v>
      </c>
      <c r="B125" s="6" t="s">
        <v>108</v>
      </c>
      <c r="C125" s="6" t="s">
        <v>109</v>
      </c>
      <c r="D125" s="6" t="s">
        <v>786</v>
      </c>
      <c r="E125" s="6" t="s">
        <v>787</v>
      </c>
      <c r="F125" s="9">
        <v>45701</v>
      </c>
      <c r="G125" s="9">
        <v>45731</v>
      </c>
      <c r="H125" s="12">
        <v>-15</v>
      </c>
      <c r="I125" s="11">
        <v>155.19999999999999</v>
      </c>
      <c r="J125" s="6" t="s">
        <v>23</v>
      </c>
      <c r="K125" s="6" t="s">
        <v>21</v>
      </c>
      <c r="L125" s="6" t="s">
        <v>21</v>
      </c>
      <c r="M125" s="2" t="str">
        <f t="shared" si="1"/>
        <v/>
      </c>
    </row>
    <row r="126" spans="1:13" x14ac:dyDescent="0.25">
      <c r="A126" s="6" t="s">
        <v>6</v>
      </c>
      <c r="B126" s="6" t="s">
        <v>108</v>
      </c>
      <c r="C126" s="6" t="s">
        <v>109</v>
      </c>
      <c r="D126" s="6" t="s">
        <v>788</v>
      </c>
      <c r="E126" s="6" t="s">
        <v>789</v>
      </c>
      <c r="F126" s="9">
        <v>45702</v>
      </c>
      <c r="G126" s="9">
        <v>45732</v>
      </c>
      <c r="H126" s="12">
        <v>-16</v>
      </c>
      <c r="I126" s="11">
        <v>302.41999999999996</v>
      </c>
      <c r="J126" s="6" t="s">
        <v>23</v>
      </c>
      <c r="K126" s="6" t="s">
        <v>21</v>
      </c>
      <c r="L126" s="6" t="s">
        <v>21</v>
      </c>
      <c r="M126" s="2" t="str">
        <f t="shared" si="1"/>
        <v/>
      </c>
    </row>
    <row r="127" spans="1:13" x14ac:dyDescent="0.25">
      <c r="A127" s="6" t="s">
        <v>6</v>
      </c>
      <c r="B127" s="6" t="s">
        <v>108</v>
      </c>
      <c r="C127" s="6" t="s">
        <v>109</v>
      </c>
      <c r="D127" s="6" t="s">
        <v>110</v>
      </c>
      <c r="E127" s="6" t="s">
        <v>111</v>
      </c>
      <c r="F127" s="9">
        <v>45450</v>
      </c>
      <c r="G127" s="9">
        <v>45480</v>
      </c>
      <c r="H127" s="10">
        <v>236</v>
      </c>
      <c r="I127" s="11">
        <v>143.30000000000001</v>
      </c>
      <c r="J127" s="6" t="s">
        <v>23</v>
      </c>
      <c r="K127" s="6" t="s">
        <v>21</v>
      </c>
      <c r="L127" s="6" t="s">
        <v>21</v>
      </c>
      <c r="M127" s="2">
        <f t="shared" si="1"/>
        <v>143.30000000000001</v>
      </c>
    </row>
    <row r="128" spans="1:13" x14ac:dyDescent="0.25">
      <c r="A128" s="6" t="s">
        <v>6</v>
      </c>
      <c r="B128" s="6" t="s">
        <v>108</v>
      </c>
      <c r="C128" s="6" t="s">
        <v>109</v>
      </c>
      <c r="D128" s="6" t="s">
        <v>112</v>
      </c>
      <c r="E128" s="6" t="s">
        <v>113</v>
      </c>
      <c r="F128" s="9">
        <v>45657</v>
      </c>
      <c r="G128" s="9">
        <v>45687</v>
      </c>
      <c r="H128" s="10">
        <v>29</v>
      </c>
      <c r="I128" s="11">
        <v>1728.5</v>
      </c>
      <c r="J128" s="6" t="s">
        <v>23</v>
      </c>
      <c r="K128" s="6" t="s">
        <v>21</v>
      </c>
      <c r="L128" s="6" t="s">
        <v>21</v>
      </c>
      <c r="M128" s="2">
        <f t="shared" si="1"/>
        <v>1728.5</v>
      </c>
    </row>
    <row r="129" spans="1:13" x14ac:dyDescent="0.25">
      <c r="A129" s="6" t="s">
        <v>6</v>
      </c>
      <c r="B129" s="6" t="s">
        <v>108</v>
      </c>
      <c r="C129" s="6" t="s">
        <v>109</v>
      </c>
      <c r="D129" s="6" t="s">
        <v>114</v>
      </c>
      <c r="E129" s="6" t="s">
        <v>115</v>
      </c>
      <c r="F129" s="9">
        <v>45679</v>
      </c>
      <c r="G129" s="9">
        <v>45709</v>
      </c>
      <c r="H129" s="10">
        <v>7</v>
      </c>
      <c r="I129" s="11">
        <v>653.74</v>
      </c>
      <c r="J129" s="6" t="s">
        <v>23</v>
      </c>
      <c r="K129" s="6" t="s">
        <v>21</v>
      </c>
      <c r="L129" s="6" t="s">
        <v>21</v>
      </c>
      <c r="M129" s="2">
        <f t="shared" si="1"/>
        <v>653.74</v>
      </c>
    </row>
    <row r="130" spans="1:13" x14ac:dyDescent="0.25">
      <c r="A130" s="6" t="s">
        <v>6</v>
      </c>
      <c r="B130" s="6" t="s">
        <v>108</v>
      </c>
      <c r="C130" s="6" t="s">
        <v>109</v>
      </c>
      <c r="D130" s="6" t="s">
        <v>790</v>
      </c>
      <c r="E130" s="6" t="s">
        <v>791</v>
      </c>
      <c r="F130" s="9">
        <v>45693</v>
      </c>
      <c r="G130" s="9">
        <v>45723</v>
      </c>
      <c r="H130" s="12">
        <v>-7</v>
      </c>
      <c r="I130" s="11">
        <v>231.25</v>
      </c>
      <c r="J130" s="6" t="s">
        <v>23</v>
      </c>
      <c r="K130" s="6" t="s">
        <v>21</v>
      </c>
      <c r="L130" s="6" t="s">
        <v>21</v>
      </c>
      <c r="M130" s="2" t="str">
        <f t="shared" si="1"/>
        <v/>
      </c>
    </row>
    <row r="131" spans="1:13" x14ac:dyDescent="0.25">
      <c r="A131" s="6" t="s">
        <v>6</v>
      </c>
      <c r="B131" s="6" t="s">
        <v>108</v>
      </c>
      <c r="C131" s="6" t="s">
        <v>109</v>
      </c>
      <c r="D131" s="6" t="s">
        <v>116</v>
      </c>
      <c r="E131" s="6" t="s">
        <v>117</v>
      </c>
      <c r="F131" s="9">
        <v>45679</v>
      </c>
      <c r="G131" s="9">
        <v>45709</v>
      </c>
      <c r="H131" s="10">
        <v>7</v>
      </c>
      <c r="I131" s="11">
        <v>146.25</v>
      </c>
      <c r="J131" s="6" t="s">
        <v>23</v>
      </c>
      <c r="K131" s="6" t="s">
        <v>21</v>
      </c>
      <c r="L131" s="6" t="s">
        <v>21</v>
      </c>
      <c r="M131" s="2">
        <f t="shared" ref="M131:M194" si="2">IF(H131&gt;0,I131,"")</f>
        <v>146.25</v>
      </c>
    </row>
    <row r="132" spans="1:13" x14ac:dyDescent="0.25">
      <c r="A132" s="6" t="s">
        <v>6</v>
      </c>
      <c r="B132" s="6" t="s">
        <v>108</v>
      </c>
      <c r="C132" s="6" t="s">
        <v>109</v>
      </c>
      <c r="D132" s="6" t="s">
        <v>792</v>
      </c>
      <c r="E132" s="6" t="s">
        <v>793</v>
      </c>
      <c r="F132" s="9">
        <v>45701</v>
      </c>
      <c r="G132" s="9">
        <v>45731</v>
      </c>
      <c r="H132" s="12">
        <v>-15</v>
      </c>
      <c r="I132" s="11">
        <v>563.65</v>
      </c>
      <c r="J132" s="6" t="s">
        <v>23</v>
      </c>
      <c r="K132" s="6" t="s">
        <v>21</v>
      </c>
      <c r="L132" s="6" t="s">
        <v>21</v>
      </c>
      <c r="M132" s="2" t="str">
        <f t="shared" si="2"/>
        <v/>
      </c>
    </row>
    <row r="133" spans="1:13" x14ac:dyDescent="0.25">
      <c r="A133" s="6" t="s">
        <v>6</v>
      </c>
      <c r="B133" s="6" t="s">
        <v>108</v>
      </c>
      <c r="C133" s="6" t="s">
        <v>109</v>
      </c>
      <c r="D133" s="6" t="s">
        <v>794</v>
      </c>
      <c r="E133" s="6" t="s">
        <v>795</v>
      </c>
      <c r="F133" s="9">
        <v>45695</v>
      </c>
      <c r="G133" s="9">
        <v>45725</v>
      </c>
      <c r="H133" s="12">
        <v>-9</v>
      </c>
      <c r="I133" s="11">
        <v>2702.5</v>
      </c>
      <c r="J133" s="6" t="s">
        <v>23</v>
      </c>
      <c r="K133" s="6" t="s">
        <v>796</v>
      </c>
      <c r="L133" s="6" t="s">
        <v>21</v>
      </c>
      <c r="M133" s="2" t="str">
        <f t="shared" si="2"/>
        <v/>
      </c>
    </row>
    <row r="134" spans="1:13" x14ac:dyDescent="0.25">
      <c r="A134" s="6" t="s">
        <v>118</v>
      </c>
      <c r="B134" s="6" t="s">
        <v>119</v>
      </c>
      <c r="C134" s="6" t="s">
        <v>120</v>
      </c>
      <c r="D134" s="6" t="s">
        <v>797</v>
      </c>
      <c r="E134" s="6" t="s">
        <v>798</v>
      </c>
      <c r="F134" s="9">
        <v>45686</v>
      </c>
      <c r="G134" s="9">
        <v>45746</v>
      </c>
      <c r="H134" s="12">
        <v>-30</v>
      </c>
      <c r="I134" s="11">
        <v>924</v>
      </c>
      <c r="J134" s="6" t="s">
        <v>22</v>
      </c>
      <c r="K134" s="6" t="s">
        <v>21</v>
      </c>
      <c r="L134" s="6" t="s">
        <v>21</v>
      </c>
      <c r="M134" s="2" t="str">
        <f t="shared" si="2"/>
        <v/>
      </c>
    </row>
    <row r="135" spans="1:13" x14ac:dyDescent="0.25">
      <c r="A135" s="6" t="s">
        <v>118</v>
      </c>
      <c r="B135" s="6" t="s">
        <v>119</v>
      </c>
      <c r="C135" s="6" t="s">
        <v>120</v>
      </c>
      <c r="D135" s="6" t="s">
        <v>121</v>
      </c>
      <c r="E135" s="6" t="s">
        <v>122</v>
      </c>
      <c r="F135" s="9">
        <v>45679</v>
      </c>
      <c r="G135" s="9">
        <v>45739</v>
      </c>
      <c r="H135" s="12">
        <v>-23</v>
      </c>
      <c r="I135" s="11">
        <v>891</v>
      </c>
      <c r="J135" s="6" t="s">
        <v>22</v>
      </c>
      <c r="K135" s="6" t="s">
        <v>21</v>
      </c>
      <c r="L135" s="6" t="s">
        <v>21</v>
      </c>
      <c r="M135" s="2" t="str">
        <f t="shared" si="2"/>
        <v/>
      </c>
    </row>
    <row r="136" spans="1:13" x14ac:dyDescent="0.25">
      <c r="A136" s="6" t="s">
        <v>118</v>
      </c>
      <c r="B136" s="6" t="s">
        <v>119</v>
      </c>
      <c r="C136" s="6" t="s">
        <v>120</v>
      </c>
      <c r="D136" s="6" t="s">
        <v>123</v>
      </c>
      <c r="E136" s="6" t="s">
        <v>124</v>
      </c>
      <c r="F136" s="9">
        <v>45679</v>
      </c>
      <c r="G136" s="9">
        <v>45739</v>
      </c>
      <c r="H136" s="12">
        <v>-23</v>
      </c>
      <c r="I136" s="11">
        <v>375</v>
      </c>
      <c r="J136" s="6" t="s">
        <v>22</v>
      </c>
      <c r="K136" s="6" t="s">
        <v>21</v>
      </c>
      <c r="L136" s="6" t="s">
        <v>21</v>
      </c>
      <c r="M136" s="2" t="str">
        <f t="shared" si="2"/>
        <v/>
      </c>
    </row>
    <row r="137" spans="1:13" x14ac:dyDescent="0.25">
      <c r="A137" s="6" t="s">
        <v>118</v>
      </c>
      <c r="B137" s="6" t="s">
        <v>119</v>
      </c>
      <c r="C137" s="6" t="s">
        <v>120</v>
      </c>
      <c r="D137" s="6" t="s">
        <v>125</v>
      </c>
      <c r="E137" s="6" t="s">
        <v>126</v>
      </c>
      <c r="F137" s="9">
        <v>45679</v>
      </c>
      <c r="G137" s="9">
        <v>45739</v>
      </c>
      <c r="H137" s="12">
        <v>-23</v>
      </c>
      <c r="I137" s="11">
        <v>1782</v>
      </c>
      <c r="J137" s="6" t="s">
        <v>22</v>
      </c>
      <c r="K137" s="6" t="s">
        <v>21</v>
      </c>
      <c r="L137" s="6" t="s">
        <v>21</v>
      </c>
      <c r="M137" s="2" t="str">
        <f t="shared" si="2"/>
        <v/>
      </c>
    </row>
    <row r="138" spans="1:13" x14ac:dyDescent="0.25">
      <c r="A138" s="6" t="s">
        <v>118</v>
      </c>
      <c r="B138" s="6" t="s">
        <v>119</v>
      </c>
      <c r="C138" s="6" t="s">
        <v>120</v>
      </c>
      <c r="D138" s="6" t="s">
        <v>799</v>
      </c>
      <c r="E138" s="6" t="s">
        <v>800</v>
      </c>
      <c r="F138" s="9">
        <v>45687</v>
      </c>
      <c r="G138" s="9">
        <v>45747</v>
      </c>
      <c r="H138" s="12">
        <v>-31</v>
      </c>
      <c r="I138" s="11">
        <v>7194</v>
      </c>
      <c r="J138" s="6" t="s">
        <v>22</v>
      </c>
      <c r="K138" s="6" t="s">
        <v>21</v>
      </c>
      <c r="L138" s="6" t="s">
        <v>21</v>
      </c>
      <c r="M138" s="2" t="str">
        <f t="shared" si="2"/>
        <v/>
      </c>
    </row>
    <row r="139" spans="1:13" x14ac:dyDescent="0.25">
      <c r="A139" s="6" t="s">
        <v>118</v>
      </c>
      <c r="B139" s="6" t="s">
        <v>119</v>
      </c>
      <c r="C139" s="6" t="s">
        <v>120</v>
      </c>
      <c r="D139" s="6" t="s">
        <v>801</v>
      </c>
      <c r="E139" s="6" t="s">
        <v>802</v>
      </c>
      <c r="F139" s="9">
        <v>45715</v>
      </c>
      <c r="G139" s="9">
        <v>45760</v>
      </c>
      <c r="H139" s="12">
        <v>-44</v>
      </c>
      <c r="I139" s="11">
        <v>823.2</v>
      </c>
      <c r="J139" s="6" t="s">
        <v>22</v>
      </c>
      <c r="K139" s="6" t="s">
        <v>21</v>
      </c>
      <c r="L139" s="6" t="s">
        <v>21</v>
      </c>
      <c r="M139" s="2" t="str">
        <f t="shared" si="2"/>
        <v/>
      </c>
    </row>
    <row r="140" spans="1:13" x14ac:dyDescent="0.25">
      <c r="A140" s="6" t="s">
        <v>118</v>
      </c>
      <c r="B140" s="6" t="s">
        <v>119</v>
      </c>
      <c r="C140" s="6" t="s">
        <v>120</v>
      </c>
      <c r="D140" s="6" t="s">
        <v>803</v>
      </c>
      <c r="E140" s="6" t="s">
        <v>804</v>
      </c>
      <c r="F140" s="9">
        <v>45688</v>
      </c>
      <c r="G140" s="9">
        <v>45718</v>
      </c>
      <c r="H140" s="12">
        <v>-2</v>
      </c>
      <c r="I140" s="11">
        <v>360.35999999999996</v>
      </c>
      <c r="J140" s="6" t="s">
        <v>22</v>
      </c>
      <c r="K140" s="6" t="s">
        <v>21</v>
      </c>
      <c r="L140" s="6" t="s">
        <v>21</v>
      </c>
      <c r="M140" s="2" t="str">
        <f t="shared" si="2"/>
        <v/>
      </c>
    </row>
    <row r="141" spans="1:13" x14ac:dyDescent="0.25">
      <c r="A141" s="6" t="s">
        <v>118</v>
      </c>
      <c r="B141" s="6" t="s">
        <v>119</v>
      </c>
      <c r="C141" s="6" t="s">
        <v>120</v>
      </c>
      <c r="D141" s="6" t="s">
        <v>127</v>
      </c>
      <c r="E141" s="6" t="s">
        <v>128</v>
      </c>
      <c r="F141" s="9">
        <v>45666</v>
      </c>
      <c r="G141" s="9">
        <v>45726</v>
      </c>
      <c r="H141" s="12">
        <v>-10</v>
      </c>
      <c r="I141" s="11">
        <v>924</v>
      </c>
      <c r="J141" s="6" t="s">
        <v>22</v>
      </c>
      <c r="K141" s="6" t="s">
        <v>21</v>
      </c>
      <c r="L141" s="6" t="s">
        <v>21</v>
      </c>
      <c r="M141" s="2" t="str">
        <f t="shared" si="2"/>
        <v/>
      </c>
    </row>
    <row r="142" spans="1:13" x14ac:dyDescent="0.25">
      <c r="A142" s="6" t="s">
        <v>118</v>
      </c>
      <c r="B142" s="6" t="s">
        <v>119</v>
      </c>
      <c r="C142" s="6" t="s">
        <v>120</v>
      </c>
      <c r="D142" s="6" t="s">
        <v>805</v>
      </c>
      <c r="E142" s="6" t="s">
        <v>806</v>
      </c>
      <c r="F142" s="9">
        <v>45715</v>
      </c>
      <c r="G142" s="9">
        <v>45745</v>
      </c>
      <c r="H142" s="12">
        <v>-29</v>
      </c>
      <c r="I142" s="11">
        <v>1973.4</v>
      </c>
      <c r="J142" s="6" t="s">
        <v>22</v>
      </c>
      <c r="K142" s="6" t="s">
        <v>21</v>
      </c>
      <c r="L142" s="6" t="s">
        <v>21</v>
      </c>
      <c r="M142" s="2" t="str">
        <f t="shared" si="2"/>
        <v/>
      </c>
    </row>
    <row r="143" spans="1:13" x14ac:dyDescent="0.25">
      <c r="A143" s="6" t="s">
        <v>118</v>
      </c>
      <c r="B143" s="6" t="s">
        <v>119</v>
      </c>
      <c r="C143" s="6" t="s">
        <v>120</v>
      </c>
      <c r="D143" s="6" t="s">
        <v>129</v>
      </c>
      <c r="E143" s="6" t="s">
        <v>130</v>
      </c>
      <c r="F143" s="9">
        <v>45657</v>
      </c>
      <c r="G143" s="9">
        <v>45717</v>
      </c>
      <c r="H143" s="12">
        <v>-1</v>
      </c>
      <c r="I143" s="11">
        <v>1504.8</v>
      </c>
      <c r="J143" s="6" t="s">
        <v>22</v>
      </c>
      <c r="K143" s="6" t="s">
        <v>21</v>
      </c>
      <c r="L143" s="6" t="s">
        <v>21</v>
      </c>
      <c r="M143" s="2" t="str">
        <f t="shared" si="2"/>
        <v/>
      </c>
    </row>
    <row r="144" spans="1:13" x14ac:dyDescent="0.25">
      <c r="A144" s="6" t="s">
        <v>118</v>
      </c>
      <c r="B144" s="6" t="s">
        <v>119</v>
      </c>
      <c r="C144" s="6" t="s">
        <v>120</v>
      </c>
      <c r="D144" s="6" t="s">
        <v>131</v>
      </c>
      <c r="E144" s="6" t="s">
        <v>132</v>
      </c>
      <c r="F144" s="9">
        <v>45657</v>
      </c>
      <c r="G144" s="9">
        <v>45717</v>
      </c>
      <c r="H144" s="12">
        <v>-1</v>
      </c>
      <c r="I144" s="11">
        <v>752.4</v>
      </c>
      <c r="J144" s="6" t="s">
        <v>22</v>
      </c>
      <c r="K144" s="6" t="s">
        <v>21</v>
      </c>
      <c r="L144" s="6" t="s">
        <v>21</v>
      </c>
      <c r="M144" s="2" t="str">
        <f t="shared" si="2"/>
        <v/>
      </c>
    </row>
    <row r="145" spans="1:13" x14ac:dyDescent="0.25">
      <c r="A145" s="6" t="s">
        <v>118</v>
      </c>
      <c r="B145" s="6" t="s">
        <v>119</v>
      </c>
      <c r="C145" s="6" t="s">
        <v>120</v>
      </c>
      <c r="D145" s="6" t="s">
        <v>133</v>
      </c>
      <c r="E145" s="6" t="s">
        <v>134</v>
      </c>
      <c r="F145" s="9">
        <v>45657</v>
      </c>
      <c r="G145" s="9">
        <v>45717</v>
      </c>
      <c r="H145" s="12">
        <v>-1</v>
      </c>
      <c r="I145" s="11">
        <v>924</v>
      </c>
      <c r="J145" s="6" t="s">
        <v>22</v>
      </c>
      <c r="K145" s="6" t="s">
        <v>21</v>
      </c>
      <c r="L145" s="6" t="s">
        <v>21</v>
      </c>
      <c r="M145" s="2" t="str">
        <f t="shared" si="2"/>
        <v/>
      </c>
    </row>
    <row r="146" spans="1:13" x14ac:dyDescent="0.25">
      <c r="A146" s="6" t="s">
        <v>118</v>
      </c>
      <c r="B146" s="6" t="s">
        <v>119</v>
      </c>
      <c r="C146" s="6" t="s">
        <v>120</v>
      </c>
      <c r="D146" s="6" t="s">
        <v>135</v>
      </c>
      <c r="E146" s="6" t="s">
        <v>136</v>
      </c>
      <c r="F146" s="9">
        <v>45657</v>
      </c>
      <c r="G146" s="9">
        <v>45717</v>
      </c>
      <c r="H146" s="12">
        <v>-1</v>
      </c>
      <c r="I146" s="11">
        <v>1980</v>
      </c>
      <c r="J146" s="6" t="s">
        <v>22</v>
      </c>
      <c r="K146" s="6" t="s">
        <v>21</v>
      </c>
      <c r="L146" s="6" t="s">
        <v>21</v>
      </c>
      <c r="M146" s="2" t="str">
        <f t="shared" si="2"/>
        <v/>
      </c>
    </row>
    <row r="147" spans="1:13" x14ac:dyDescent="0.25">
      <c r="A147" s="6" t="s">
        <v>118</v>
      </c>
      <c r="B147" s="6" t="s">
        <v>119</v>
      </c>
      <c r="C147" s="6" t="s">
        <v>120</v>
      </c>
      <c r="D147" s="6" t="s">
        <v>807</v>
      </c>
      <c r="E147" s="6" t="s">
        <v>808</v>
      </c>
      <c r="F147" s="9">
        <v>45688</v>
      </c>
      <c r="G147" s="9">
        <v>45718</v>
      </c>
      <c r="H147" s="12">
        <v>-2</v>
      </c>
      <c r="I147" s="11">
        <v>180.17999999999998</v>
      </c>
      <c r="J147" s="6" t="s">
        <v>22</v>
      </c>
      <c r="K147" s="6" t="s">
        <v>21</v>
      </c>
      <c r="L147" s="6" t="s">
        <v>21</v>
      </c>
      <c r="M147" s="2" t="str">
        <f t="shared" si="2"/>
        <v/>
      </c>
    </row>
    <row r="148" spans="1:13" x14ac:dyDescent="0.25">
      <c r="A148" s="6" t="s">
        <v>118</v>
      </c>
      <c r="B148" s="6" t="s">
        <v>119</v>
      </c>
      <c r="C148" s="6" t="s">
        <v>120</v>
      </c>
      <c r="D148" s="6" t="s">
        <v>809</v>
      </c>
      <c r="E148" s="6" t="s">
        <v>810</v>
      </c>
      <c r="F148" s="9">
        <v>45706</v>
      </c>
      <c r="G148" s="9">
        <v>45736</v>
      </c>
      <c r="H148" s="12">
        <v>-20</v>
      </c>
      <c r="I148" s="11">
        <v>432</v>
      </c>
      <c r="J148" s="6" t="s">
        <v>22</v>
      </c>
      <c r="K148" s="6" t="s">
        <v>21</v>
      </c>
      <c r="L148" s="6" t="s">
        <v>21</v>
      </c>
      <c r="M148" s="2" t="str">
        <f t="shared" si="2"/>
        <v/>
      </c>
    </row>
    <row r="149" spans="1:13" x14ac:dyDescent="0.25">
      <c r="A149" s="6" t="s">
        <v>118</v>
      </c>
      <c r="B149" s="6" t="s">
        <v>119</v>
      </c>
      <c r="C149" s="6" t="s">
        <v>120</v>
      </c>
      <c r="D149" s="6" t="s">
        <v>811</v>
      </c>
      <c r="E149" s="6" t="s">
        <v>812</v>
      </c>
      <c r="F149" s="9">
        <v>45714</v>
      </c>
      <c r="G149" s="9">
        <v>45744</v>
      </c>
      <c r="H149" s="12">
        <v>-28</v>
      </c>
      <c r="I149" s="11">
        <v>726.66</v>
      </c>
      <c r="J149" s="6" t="s">
        <v>22</v>
      </c>
      <c r="K149" s="6" t="s">
        <v>21</v>
      </c>
      <c r="L149" s="6" t="s">
        <v>21</v>
      </c>
      <c r="M149" s="2" t="str">
        <f t="shared" si="2"/>
        <v/>
      </c>
    </row>
    <row r="150" spans="1:13" x14ac:dyDescent="0.25">
      <c r="A150" s="6" t="s">
        <v>118</v>
      </c>
      <c r="B150" s="6" t="s">
        <v>119</v>
      </c>
      <c r="C150" s="6" t="s">
        <v>120</v>
      </c>
      <c r="D150" s="6" t="s">
        <v>813</v>
      </c>
      <c r="E150" s="6" t="s">
        <v>814</v>
      </c>
      <c r="F150" s="9">
        <v>45714</v>
      </c>
      <c r="G150" s="9">
        <v>45744</v>
      </c>
      <c r="H150" s="12">
        <v>-28</v>
      </c>
      <c r="I150" s="11">
        <v>62.03</v>
      </c>
      <c r="J150" s="6" t="s">
        <v>22</v>
      </c>
      <c r="K150" s="6" t="s">
        <v>21</v>
      </c>
      <c r="L150" s="6" t="s">
        <v>21</v>
      </c>
      <c r="M150" s="2" t="str">
        <f t="shared" si="2"/>
        <v/>
      </c>
    </row>
    <row r="151" spans="1:13" x14ac:dyDescent="0.25">
      <c r="A151" s="6" t="s">
        <v>118</v>
      </c>
      <c r="B151" s="6" t="s">
        <v>119</v>
      </c>
      <c r="C151" s="6" t="s">
        <v>120</v>
      </c>
      <c r="D151" s="6" t="s">
        <v>815</v>
      </c>
      <c r="E151" s="6" t="s">
        <v>816</v>
      </c>
      <c r="F151" s="9">
        <v>45714</v>
      </c>
      <c r="G151" s="9">
        <v>45744</v>
      </c>
      <c r="H151" s="12">
        <v>-28</v>
      </c>
      <c r="I151" s="11">
        <v>432</v>
      </c>
      <c r="J151" s="6" t="s">
        <v>22</v>
      </c>
      <c r="K151" s="6" t="s">
        <v>21</v>
      </c>
      <c r="L151" s="6" t="s">
        <v>21</v>
      </c>
      <c r="M151" s="2" t="str">
        <f t="shared" si="2"/>
        <v/>
      </c>
    </row>
    <row r="152" spans="1:13" x14ac:dyDescent="0.25">
      <c r="A152" s="6" t="s">
        <v>118</v>
      </c>
      <c r="B152" s="6" t="s">
        <v>119</v>
      </c>
      <c r="C152" s="6" t="s">
        <v>120</v>
      </c>
      <c r="D152" s="6" t="s">
        <v>817</v>
      </c>
      <c r="E152" s="6" t="s">
        <v>818</v>
      </c>
      <c r="F152" s="9">
        <v>45715</v>
      </c>
      <c r="G152" s="9">
        <v>45760</v>
      </c>
      <c r="H152" s="12">
        <v>-44</v>
      </c>
      <c r="I152" s="11">
        <v>443.7</v>
      </c>
      <c r="J152" s="6" t="s">
        <v>22</v>
      </c>
      <c r="K152" s="6" t="s">
        <v>21</v>
      </c>
      <c r="L152" s="6" t="s">
        <v>21</v>
      </c>
      <c r="M152" s="2" t="str">
        <f t="shared" si="2"/>
        <v/>
      </c>
    </row>
    <row r="153" spans="1:13" x14ac:dyDescent="0.25">
      <c r="A153" s="6" t="s">
        <v>118</v>
      </c>
      <c r="B153" s="6" t="s">
        <v>119</v>
      </c>
      <c r="C153" s="6" t="s">
        <v>120</v>
      </c>
      <c r="D153" s="6" t="s">
        <v>819</v>
      </c>
      <c r="E153" s="6" t="s">
        <v>820</v>
      </c>
      <c r="F153" s="9">
        <v>45715</v>
      </c>
      <c r="G153" s="9">
        <v>45760</v>
      </c>
      <c r="H153" s="12">
        <v>-44</v>
      </c>
      <c r="I153" s="11">
        <v>1007.8</v>
      </c>
      <c r="J153" s="6" t="s">
        <v>22</v>
      </c>
      <c r="K153" s="6" t="s">
        <v>21</v>
      </c>
      <c r="L153" s="6" t="s">
        <v>21</v>
      </c>
      <c r="M153" s="2" t="str">
        <f t="shared" si="2"/>
        <v/>
      </c>
    </row>
    <row r="154" spans="1:13" x14ac:dyDescent="0.25">
      <c r="A154" s="6" t="s">
        <v>118</v>
      </c>
      <c r="B154" s="6" t="s">
        <v>119</v>
      </c>
      <c r="C154" s="6" t="s">
        <v>120</v>
      </c>
      <c r="D154" s="6" t="s">
        <v>821</v>
      </c>
      <c r="E154" s="6" t="s">
        <v>822</v>
      </c>
      <c r="F154" s="9">
        <v>45693</v>
      </c>
      <c r="G154" s="9">
        <v>45738</v>
      </c>
      <c r="H154" s="12">
        <v>-22</v>
      </c>
      <c r="I154" s="11">
        <v>573.12</v>
      </c>
      <c r="J154" s="6" t="s">
        <v>22</v>
      </c>
      <c r="K154" s="6" t="s">
        <v>21</v>
      </c>
      <c r="L154" s="6" t="s">
        <v>21</v>
      </c>
      <c r="M154" s="2" t="str">
        <f t="shared" si="2"/>
        <v/>
      </c>
    </row>
    <row r="155" spans="1:13" x14ac:dyDescent="0.25">
      <c r="A155" s="6" t="s">
        <v>118</v>
      </c>
      <c r="B155" s="6" t="s">
        <v>119</v>
      </c>
      <c r="C155" s="6" t="s">
        <v>120</v>
      </c>
      <c r="D155" s="6" t="s">
        <v>823</v>
      </c>
      <c r="E155" s="6" t="s">
        <v>824</v>
      </c>
      <c r="F155" s="9">
        <v>45693</v>
      </c>
      <c r="G155" s="9">
        <v>45738</v>
      </c>
      <c r="H155" s="12">
        <v>-22</v>
      </c>
      <c r="I155" s="11">
        <v>163.63999999999999</v>
      </c>
      <c r="J155" s="6" t="s">
        <v>22</v>
      </c>
      <c r="K155" s="6" t="s">
        <v>21</v>
      </c>
      <c r="L155" s="6" t="s">
        <v>21</v>
      </c>
      <c r="M155" s="2" t="str">
        <f t="shared" si="2"/>
        <v/>
      </c>
    </row>
    <row r="156" spans="1:13" x14ac:dyDescent="0.25">
      <c r="A156" s="6" t="s">
        <v>118</v>
      </c>
      <c r="B156" s="6" t="s">
        <v>119</v>
      </c>
      <c r="C156" s="6" t="s">
        <v>120</v>
      </c>
      <c r="D156" s="6" t="s">
        <v>825</v>
      </c>
      <c r="E156" s="6" t="s">
        <v>826</v>
      </c>
      <c r="F156" s="9">
        <v>45693</v>
      </c>
      <c r="G156" s="9">
        <v>45738</v>
      </c>
      <c r="H156" s="12">
        <v>-22</v>
      </c>
      <c r="I156" s="11">
        <v>225</v>
      </c>
      <c r="J156" s="6" t="s">
        <v>22</v>
      </c>
      <c r="K156" s="6" t="s">
        <v>21</v>
      </c>
      <c r="L156" s="6" t="s">
        <v>21</v>
      </c>
      <c r="M156" s="2" t="str">
        <f t="shared" si="2"/>
        <v/>
      </c>
    </row>
    <row r="157" spans="1:13" x14ac:dyDescent="0.25">
      <c r="A157" s="6" t="s">
        <v>118</v>
      </c>
      <c r="B157" s="6" t="s">
        <v>119</v>
      </c>
      <c r="C157" s="6" t="s">
        <v>120</v>
      </c>
      <c r="D157" s="6" t="s">
        <v>827</v>
      </c>
      <c r="E157" s="6" t="s">
        <v>828</v>
      </c>
      <c r="F157" s="9">
        <v>45693</v>
      </c>
      <c r="G157" s="9">
        <v>45738</v>
      </c>
      <c r="H157" s="12">
        <v>-22</v>
      </c>
      <c r="I157" s="11">
        <v>119.4</v>
      </c>
      <c r="J157" s="6" t="s">
        <v>22</v>
      </c>
      <c r="K157" s="6" t="s">
        <v>21</v>
      </c>
      <c r="L157" s="6" t="s">
        <v>21</v>
      </c>
      <c r="M157" s="2" t="str">
        <f t="shared" si="2"/>
        <v/>
      </c>
    </row>
    <row r="158" spans="1:13" x14ac:dyDescent="0.25">
      <c r="A158" s="6" t="s">
        <v>118</v>
      </c>
      <c r="B158" s="6" t="s">
        <v>119</v>
      </c>
      <c r="C158" s="6" t="s">
        <v>120</v>
      </c>
      <c r="D158" s="6" t="s">
        <v>829</v>
      </c>
      <c r="E158" s="6" t="s">
        <v>830</v>
      </c>
      <c r="F158" s="9">
        <v>45693</v>
      </c>
      <c r="G158" s="9">
        <v>45738</v>
      </c>
      <c r="H158" s="12">
        <v>-22</v>
      </c>
      <c r="I158" s="11">
        <v>198</v>
      </c>
      <c r="J158" s="6" t="s">
        <v>22</v>
      </c>
      <c r="K158" s="6" t="s">
        <v>21</v>
      </c>
      <c r="L158" s="6" t="s">
        <v>21</v>
      </c>
      <c r="M158" s="2" t="str">
        <f t="shared" si="2"/>
        <v/>
      </c>
    </row>
    <row r="159" spans="1:13" x14ac:dyDescent="0.25">
      <c r="A159" s="6" t="s">
        <v>118</v>
      </c>
      <c r="B159" s="6" t="s">
        <v>119</v>
      </c>
      <c r="C159" s="6" t="s">
        <v>120</v>
      </c>
      <c r="D159" s="6" t="s">
        <v>831</v>
      </c>
      <c r="E159" s="6" t="s">
        <v>832</v>
      </c>
      <c r="F159" s="9">
        <v>45693</v>
      </c>
      <c r="G159" s="9">
        <v>45738</v>
      </c>
      <c r="H159" s="12">
        <v>-22</v>
      </c>
      <c r="I159" s="11">
        <v>240</v>
      </c>
      <c r="J159" s="6" t="s">
        <v>22</v>
      </c>
      <c r="K159" s="6" t="s">
        <v>21</v>
      </c>
      <c r="L159" s="6" t="s">
        <v>21</v>
      </c>
      <c r="M159" s="2" t="str">
        <f t="shared" si="2"/>
        <v/>
      </c>
    </row>
    <row r="160" spans="1:13" x14ac:dyDescent="0.25">
      <c r="A160" s="6" t="s">
        <v>118</v>
      </c>
      <c r="B160" s="6" t="s">
        <v>119</v>
      </c>
      <c r="C160" s="6" t="s">
        <v>120</v>
      </c>
      <c r="D160" s="6" t="s">
        <v>833</v>
      </c>
      <c r="E160" s="6" t="s">
        <v>834</v>
      </c>
      <c r="F160" s="9">
        <v>45693</v>
      </c>
      <c r="G160" s="9">
        <v>45738</v>
      </c>
      <c r="H160" s="12">
        <v>-22</v>
      </c>
      <c r="I160" s="11">
        <v>180</v>
      </c>
      <c r="J160" s="6" t="s">
        <v>22</v>
      </c>
      <c r="K160" s="6" t="s">
        <v>21</v>
      </c>
      <c r="L160" s="6" t="s">
        <v>21</v>
      </c>
      <c r="M160" s="2" t="str">
        <f t="shared" si="2"/>
        <v/>
      </c>
    </row>
    <row r="161" spans="1:13" x14ac:dyDescent="0.25">
      <c r="A161" s="6" t="s">
        <v>118</v>
      </c>
      <c r="B161" s="6" t="s">
        <v>119</v>
      </c>
      <c r="C161" s="6" t="s">
        <v>120</v>
      </c>
      <c r="D161" s="6" t="s">
        <v>835</v>
      </c>
      <c r="E161" s="6" t="s">
        <v>836</v>
      </c>
      <c r="F161" s="9">
        <v>45693</v>
      </c>
      <c r="G161" s="9">
        <v>45738</v>
      </c>
      <c r="H161" s="12">
        <v>-22</v>
      </c>
      <c r="I161" s="11">
        <v>75</v>
      </c>
      <c r="J161" s="6" t="s">
        <v>22</v>
      </c>
      <c r="K161" s="6" t="s">
        <v>21</v>
      </c>
      <c r="L161" s="6" t="s">
        <v>21</v>
      </c>
      <c r="M161" s="2" t="str">
        <f t="shared" si="2"/>
        <v/>
      </c>
    </row>
    <row r="162" spans="1:13" x14ac:dyDescent="0.25">
      <c r="A162" s="6" t="s">
        <v>118</v>
      </c>
      <c r="B162" s="6" t="s">
        <v>119</v>
      </c>
      <c r="C162" s="6" t="s">
        <v>120</v>
      </c>
      <c r="D162" s="6" t="s">
        <v>837</v>
      </c>
      <c r="E162" s="6" t="s">
        <v>838</v>
      </c>
      <c r="F162" s="9">
        <v>45693</v>
      </c>
      <c r="G162" s="9">
        <v>45738</v>
      </c>
      <c r="H162" s="12">
        <v>-22</v>
      </c>
      <c r="I162" s="11">
        <v>450</v>
      </c>
      <c r="J162" s="6" t="s">
        <v>22</v>
      </c>
      <c r="K162" s="6" t="s">
        <v>21</v>
      </c>
      <c r="L162" s="6" t="s">
        <v>21</v>
      </c>
      <c r="M162" s="2" t="str">
        <f t="shared" si="2"/>
        <v/>
      </c>
    </row>
    <row r="163" spans="1:13" x14ac:dyDescent="0.25">
      <c r="A163" s="6" t="s">
        <v>118</v>
      </c>
      <c r="B163" s="6" t="s">
        <v>119</v>
      </c>
      <c r="C163" s="6" t="s">
        <v>120</v>
      </c>
      <c r="D163" s="6" t="s">
        <v>839</v>
      </c>
      <c r="E163" s="6" t="s">
        <v>840</v>
      </c>
      <c r="F163" s="9">
        <v>45693</v>
      </c>
      <c r="G163" s="9">
        <v>45738</v>
      </c>
      <c r="H163" s="12">
        <v>-22</v>
      </c>
      <c r="I163" s="11">
        <v>263.06</v>
      </c>
      <c r="J163" s="6" t="s">
        <v>22</v>
      </c>
      <c r="K163" s="6" t="s">
        <v>21</v>
      </c>
      <c r="L163" s="6" t="s">
        <v>21</v>
      </c>
      <c r="M163" s="2" t="str">
        <f t="shared" si="2"/>
        <v/>
      </c>
    </row>
    <row r="164" spans="1:13" x14ac:dyDescent="0.25">
      <c r="A164" s="6" t="s">
        <v>118</v>
      </c>
      <c r="B164" s="6" t="s">
        <v>119</v>
      </c>
      <c r="C164" s="6" t="s">
        <v>120</v>
      </c>
      <c r="D164" s="6" t="s">
        <v>841</v>
      </c>
      <c r="E164" s="6" t="s">
        <v>842</v>
      </c>
      <c r="F164" s="9">
        <v>45693</v>
      </c>
      <c r="G164" s="9">
        <v>45738</v>
      </c>
      <c r="H164" s="12">
        <v>-22</v>
      </c>
      <c r="I164" s="11">
        <v>179.7</v>
      </c>
      <c r="J164" s="6" t="s">
        <v>22</v>
      </c>
      <c r="K164" s="6" t="s">
        <v>21</v>
      </c>
      <c r="L164" s="6" t="s">
        <v>21</v>
      </c>
      <c r="M164" s="2" t="str">
        <f t="shared" si="2"/>
        <v/>
      </c>
    </row>
    <row r="165" spans="1:13" x14ac:dyDescent="0.25">
      <c r="A165" s="6" t="s">
        <v>118</v>
      </c>
      <c r="B165" s="6" t="s">
        <v>119</v>
      </c>
      <c r="C165" s="6" t="s">
        <v>120</v>
      </c>
      <c r="D165" s="6" t="s">
        <v>843</v>
      </c>
      <c r="E165" s="6" t="s">
        <v>844</v>
      </c>
      <c r="F165" s="9">
        <v>45693</v>
      </c>
      <c r="G165" s="9">
        <v>45738</v>
      </c>
      <c r="H165" s="12">
        <v>-22</v>
      </c>
      <c r="I165" s="11">
        <v>335.05</v>
      </c>
      <c r="J165" s="6" t="s">
        <v>22</v>
      </c>
      <c r="K165" s="6" t="s">
        <v>21</v>
      </c>
      <c r="L165" s="6" t="s">
        <v>21</v>
      </c>
      <c r="M165" s="2" t="str">
        <f t="shared" si="2"/>
        <v/>
      </c>
    </row>
    <row r="166" spans="1:13" x14ac:dyDescent="0.25">
      <c r="A166" s="6" t="s">
        <v>118</v>
      </c>
      <c r="B166" s="6" t="s">
        <v>119</v>
      </c>
      <c r="C166" s="6" t="s">
        <v>120</v>
      </c>
      <c r="D166" s="6" t="s">
        <v>845</v>
      </c>
      <c r="E166" s="6" t="s">
        <v>846</v>
      </c>
      <c r="F166" s="9">
        <v>45693</v>
      </c>
      <c r="G166" s="9">
        <v>45738</v>
      </c>
      <c r="H166" s="12">
        <v>-22</v>
      </c>
      <c r="I166" s="11">
        <v>483.56</v>
      </c>
      <c r="J166" s="6" t="s">
        <v>22</v>
      </c>
      <c r="K166" s="6" t="s">
        <v>21</v>
      </c>
      <c r="L166" s="6" t="s">
        <v>21</v>
      </c>
      <c r="M166" s="2" t="str">
        <f t="shared" si="2"/>
        <v/>
      </c>
    </row>
    <row r="167" spans="1:13" x14ac:dyDescent="0.25">
      <c r="A167" s="6" t="s">
        <v>118</v>
      </c>
      <c r="B167" s="6" t="s">
        <v>119</v>
      </c>
      <c r="C167" s="6" t="s">
        <v>120</v>
      </c>
      <c r="D167" s="6" t="s">
        <v>847</v>
      </c>
      <c r="E167" s="6" t="s">
        <v>848</v>
      </c>
      <c r="F167" s="9">
        <v>45693</v>
      </c>
      <c r="G167" s="9">
        <v>45738</v>
      </c>
      <c r="H167" s="12">
        <v>-22</v>
      </c>
      <c r="I167" s="11">
        <v>203.35</v>
      </c>
      <c r="J167" s="6" t="s">
        <v>22</v>
      </c>
      <c r="K167" s="6" t="s">
        <v>21</v>
      </c>
      <c r="L167" s="6" t="s">
        <v>21</v>
      </c>
      <c r="M167" s="2" t="str">
        <f t="shared" si="2"/>
        <v/>
      </c>
    </row>
    <row r="168" spans="1:13" x14ac:dyDescent="0.25">
      <c r="A168" s="6" t="s">
        <v>118</v>
      </c>
      <c r="B168" s="6" t="s">
        <v>119</v>
      </c>
      <c r="C168" s="6" t="s">
        <v>120</v>
      </c>
      <c r="D168" s="6" t="s">
        <v>849</v>
      </c>
      <c r="E168" s="6" t="s">
        <v>850</v>
      </c>
      <c r="F168" s="9">
        <v>45693</v>
      </c>
      <c r="G168" s="9">
        <v>45738</v>
      </c>
      <c r="H168" s="12">
        <v>-22</v>
      </c>
      <c r="I168" s="11">
        <v>144.52000000000001</v>
      </c>
      <c r="J168" s="6" t="s">
        <v>22</v>
      </c>
      <c r="K168" s="6" t="s">
        <v>21</v>
      </c>
      <c r="L168" s="6" t="s">
        <v>21</v>
      </c>
      <c r="M168" s="2" t="str">
        <f t="shared" si="2"/>
        <v/>
      </c>
    </row>
    <row r="169" spans="1:13" x14ac:dyDescent="0.25">
      <c r="A169" s="6" t="s">
        <v>118</v>
      </c>
      <c r="B169" s="6" t="s">
        <v>119</v>
      </c>
      <c r="C169" s="6" t="s">
        <v>120</v>
      </c>
      <c r="D169" s="6" t="s">
        <v>851</v>
      </c>
      <c r="E169" s="6" t="s">
        <v>852</v>
      </c>
      <c r="F169" s="9">
        <v>45693</v>
      </c>
      <c r="G169" s="9">
        <v>45738</v>
      </c>
      <c r="H169" s="12">
        <v>-22</v>
      </c>
      <c r="I169" s="11">
        <v>105.3</v>
      </c>
      <c r="J169" s="6" t="s">
        <v>22</v>
      </c>
      <c r="K169" s="6" t="s">
        <v>21</v>
      </c>
      <c r="L169" s="6" t="s">
        <v>21</v>
      </c>
      <c r="M169" s="2" t="str">
        <f t="shared" si="2"/>
        <v/>
      </c>
    </row>
    <row r="170" spans="1:13" x14ac:dyDescent="0.25">
      <c r="A170" s="6" t="s">
        <v>118</v>
      </c>
      <c r="B170" s="6" t="s">
        <v>119</v>
      </c>
      <c r="C170" s="6" t="s">
        <v>120</v>
      </c>
      <c r="D170" s="6" t="s">
        <v>853</v>
      </c>
      <c r="E170" s="6" t="s">
        <v>854</v>
      </c>
      <c r="F170" s="9">
        <v>45693</v>
      </c>
      <c r="G170" s="9">
        <v>45738</v>
      </c>
      <c r="H170" s="12">
        <v>-22</v>
      </c>
      <c r="I170" s="11">
        <v>336</v>
      </c>
      <c r="J170" s="6" t="s">
        <v>22</v>
      </c>
      <c r="K170" s="6" t="s">
        <v>21</v>
      </c>
      <c r="L170" s="6" t="s">
        <v>21</v>
      </c>
      <c r="M170" s="2" t="str">
        <f t="shared" si="2"/>
        <v/>
      </c>
    </row>
    <row r="171" spans="1:13" x14ac:dyDescent="0.25">
      <c r="A171" s="6" t="s">
        <v>118</v>
      </c>
      <c r="B171" s="6" t="s">
        <v>119</v>
      </c>
      <c r="C171" s="6" t="s">
        <v>120</v>
      </c>
      <c r="D171" s="6" t="s">
        <v>855</v>
      </c>
      <c r="E171" s="6" t="s">
        <v>856</v>
      </c>
      <c r="F171" s="9">
        <v>45693</v>
      </c>
      <c r="G171" s="9">
        <v>45738</v>
      </c>
      <c r="H171" s="12">
        <v>-22</v>
      </c>
      <c r="I171" s="11">
        <v>317.18</v>
      </c>
      <c r="J171" s="6" t="s">
        <v>22</v>
      </c>
      <c r="K171" s="6" t="s">
        <v>21</v>
      </c>
      <c r="L171" s="6" t="s">
        <v>21</v>
      </c>
      <c r="M171" s="2" t="str">
        <f t="shared" si="2"/>
        <v/>
      </c>
    </row>
    <row r="172" spans="1:13" x14ac:dyDescent="0.25">
      <c r="A172" s="6" t="s">
        <v>118</v>
      </c>
      <c r="B172" s="6" t="s">
        <v>119</v>
      </c>
      <c r="C172" s="6" t="s">
        <v>120</v>
      </c>
      <c r="D172" s="6" t="s">
        <v>857</v>
      </c>
      <c r="E172" s="6" t="s">
        <v>858</v>
      </c>
      <c r="F172" s="9">
        <v>45693</v>
      </c>
      <c r="G172" s="9">
        <v>45738</v>
      </c>
      <c r="H172" s="12">
        <v>-22</v>
      </c>
      <c r="I172" s="11">
        <v>484.7</v>
      </c>
      <c r="J172" s="6" t="s">
        <v>22</v>
      </c>
      <c r="K172" s="6" t="s">
        <v>21</v>
      </c>
      <c r="L172" s="6" t="s">
        <v>21</v>
      </c>
      <c r="M172" s="2" t="str">
        <f t="shared" si="2"/>
        <v/>
      </c>
    </row>
    <row r="173" spans="1:13" x14ac:dyDescent="0.25">
      <c r="A173" s="6" t="s">
        <v>118</v>
      </c>
      <c r="B173" s="6" t="s">
        <v>119</v>
      </c>
      <c r="C173" s="6" t="s">
        <v>120</v>
      </c>
      <c r="D173" s="6" t="s">
        <v>859</v>
      </c>
      <c r="E173" s="6" t="s">
        <v>860</v>
      </c>
      <c r="F173" s="9">
        <v>45693</v>
      </c>
      <c r="G173" s="9">
        <v>45738</v>
      </c>
      <c r="H173" s="12">
        <v>-22</v>
      </c>
      <c r="I173" s="11">
        <v>560.58000000000004</v>
      </c>
      <c r="J173" s="6" t="s">
        <v>22</v>
      </c>
      <c r="K173" s="6" t="s">
        <v>21</v>
      </c>
      <c r="L173" s="6" t="s">
        <v>21</v>
      </c>
      <c r="M173" s="2" t="str">
        <f t="shared" si="2"/>
        <v/>
      </c>
    </row>
    <row r="174" spans="1:13" x14ac:dyDescent="0.25">
      <c r="A174" s="6" t="s">
        <v>118</v>
      </c>
      <c r="B174" s="6" t="s">
        <v>119</v>
      </c>
      <c r="C174" s="6" t="s">
        <v>120</v>
      </c>
      <c r="D174" s="6" t="s">
        <v>861</v>
      </c>
      <c r="E174" s="6" t="s">
        <v>862</v>
      </c>
      <c r="F174" s="9">
        <v>45693</v>
      </c>
      <c r="G174" s="9">
        <v>45738</v>
      </c>
      <c r="H174" s="12">
        <v>-22</v>
      </c>
      <c r="I174" s="11">
        <v>974.24</v>
      </c>
      <c r="J174" s="6" t="s">
        <v>22</v>
      </c>
      <c r="K174" s="6" t="s">
        <v>21</v>
      </c>
      <c r="L174" s="6" t="s">
        <v>21</v>
      </c>
      <c r="M174" s="2" t="str">
        <f t="shared" si="2"/>
        <v/>
      </c>
    </row>
    <row r="175" spans="1:13" x14ac:dyDescent="0.25">
      <c r="A175" s="6" t="s">
        <v>118</v>
      </c>
      <c r="B175" s="6" t="s">
        <v>119</v>
      </c>
      <c r="C175" s="6" t="s">
        <v>120</v>
      </c>
      <c r="D175" s="6" t="s">
        <v>863</v>
      </c>
      <c r="E175" s="6" t="s">
        <v>864</v>
      </c>
      <c r="F175" s="9">
        <v>45693</v>
      </c>
      <c r="G175" s="9">
        <v>45738</v>
      </c>
      <c r="H175" s="12">
        <v>-22</v>
      </c>
      <c r="I175" s="11">
        <v>475.19</v>
      </c>
      <c r="J175" s="6" t="s">
        <v>22</v>
      </c>
      <c r="K175" s="6" t="s">
        <v>21</v>
      </c>
      <c r="L175" s="6" t="s">
        <v>21</v>
      </c>
      <c r="M175" s="2" t="str">
        <f t="shared" si="2"/>
        <v/>
      </c>
    </row>
    <row r="176" spans="1:13" x14ac:dyDescent="0.25">
      <c r="A176" s="6" t="s">
        <v>118</v>
      </c>
      <c r="B176" s="6" t="s">
        <v>119</v>
      </c>
      <c r="C176" s="6" t="s">
        <v>120</v>
      </c>
      <c r="D176" s="6" t="s">
        <v>865</v>
      </c>
      <c r="E176" s="6" t="s">
        <v>866</v>
      </c>
      <c r="F176" s="9">
        <v>45693</v>
      </c>
      <c r="G176" s="9">
        <v>45738</v>
      </c>
      <c r="H176" s="12">
        <v>-22</v>
      </c>
      <c r="I176" s="11">
        <v>436.24</v>
      </c>
      <c r="J176" s="6" t="s">
        <v>22</v>
      </c>
      <c r="K176" s="6" t="s">
        <v>21</v>
      </c>
      <c r="L176" s="6" t="s">
        <v>21</v>
      </c>
      <c r="M176" s="2" t="str">
        <f t="shared" si="2"/>
        <v/>
      </c>
    </row>
    <row r="177" spans="1:13" x14ac:dyDescent="0.25">
      <c r="A177" s="6" t="s">
        <v>118</v>
      </c>
      <c r="B177" s="6" t="s">
        <v>119</v>
      </c>
      <c r="C177" s="6" t="s">
        <v>120</v>
      </c>
      <c r="D177" s="6" t="s">
        <v>867</v>
      </c>
      <c r="E177" s="6" t="s">
        <v>868</v>
      </c>
      <c r="F177" s="9">
        <v>45693</v>
      </c>
      <c r="G177" s="9">
        <v>45738</v>
      </c>
      <c r="H177" s="12">
        <v>-22</v>
      </c>
      <c r="I177" s="11">
        <v>278.10000000000002</v>
      </c>
      <c r="J177" s="6" t="s">
        <v>22</v>
      </c>
      <c r="K177" s="6" t="s">
        <v>21</v>
      </c>
      <c r="L177" s="6" t="s">
        <v>21</v>
      </c>
      <c r="M177" s="2" t="str">
        <f t="shared" si="2"/>
        <v/>
      </c>
    </row>
    <row r="178" spans="1:13" x14ac:dyDescent="0.25">
      <c r="A178" s="6" t="s">
        <v>118</v>
      </c>
      <c r="B178" s="6" t="s">
        <v>119</v>
      </c>
      <c r="C178" s="6" t="s">
        <v>120</v>
      </c>
      <c r="D178" s="6" t="s">
        <v>869</v>
      </c>
      <c r="E178" s="6" t="s">
        <v>870</v>
      </c>
      <c r="F178" s="9">
        <v>45693</v>
      </c>
      <c r="G178" s="9">
        <v>45738</v>
      </c>
      <c r="H178" s="12">
        <v>-22</v>
      </c>
      <c r="I178" s="11">
        <v>573.76</v>
      </c>
      <c r="J178" s="6" t="s">
        <v>22</v>
      </c>
      <c r="K178" s="6" t="s">
        <v>21</v>
      </c>
      <c r="L178" s="6" t="s">
        <v>21</v>
      </c>
      <c r="M178" s="2" t="str">
        <f t="shared" si="2"/>
        <v/>
      </c>
    </row>
    <row r="179" spans="1:13" x14ac:dyDescent="0.25">
      <c r="A179" s="6" t="s">
        <v>118</v>
      </c>
      <c r="B179" s="6" t="s">
        <v>119</v>
      </c>
      <c r="C179" s="6" t="s">
        <v>120</v>
      </c>
      <c r="D179" s="6" t="s">
        <v>871</v>
      </c>
      <c r="E179" s="6" t="s">
        <v>872</v>
      </c>
      <c r="F179" s="9">
        <v>45693</v>
      </c>
      <c r="G179" s="9">
        <v>45738</v>
      </c>
      <c r="H179" s="12">
        <v>-22</v>
      </c>
      <c r="I179" s="11">
        <v>720</v>
      </c>
      <c r="J179" s="6" t="s">
        <v>22</v>
      </c>
      <c r="K179" s="6" t="s">
        <v>21</v>
      </c>
      <c r="L179" s="6" t="s">
        <v>21</v>
      </c>
      <c r="M179" s="2" t="str">
        <f t="shared" si="2"/>
        <v/>
      </c>
    </row>
    <row r="180" spans="1:13" x14ac:dyDescent="0.25">
      <c r="A180" s="6" t="s">
        <v>118</v>
      </c>
      <c r="B180" s="6" t="s">
        <v>119</v>
      </c>
      <c r="C180" s="6" t="s">
        <v>120</v>
      </c>
      <c r="D180" s="6" t="s">
        <v>873</v>
      </c>
      <c r="E180" s="6" t="s">
        <v>874</v>
      </c>
      <c r="F180" s="9">
        <v>45693</v>
      </c>
      <c r="G180" s="9">
        <v>45738</v>
      </c>
      <c r="H180" s="12">
        <v>-22</v>
      </c>
      <c r="I180" s="11">
        <v>941.26</v>
      </c>
      <c r="J180" s="6" t="s">
        <v>22</v>
      </c>
      <c r="K180" s="6" t="s">
        <v>21</v>
      </c>
      <c r="L180" s="6" t="s">
        <v>21</v>
      </c>
      <c r="M180" s="2" t="str">
        <f t="shared" si="2"/>
        <v/>
      </c>
    </row>
    <row r="181" spans="1:13" x14ac:dyDescent="0.25">
      <c r="A181" s="6" t="s">
        <v>118</v>
      </c>
      <c r="B181" s="6" t="s">
        <v>119</v>
      </c>
      <c r="C181" s="6" t="s">
        <v>120</v>
      </c>
      <c r="D181" s="6" t="s">
        <v>875</v>
      </c>
      <c r="E181" s="6" t="s">
        <v>876</v>
      </c>
      <c r="F181" s="9">
        <v>45693</v>
      </c>
      <c r="G181" s="9">
        <v>45738</v>
      </c>
      <c r="H181" s="12">
        <v>-22</v>
      </c>
      <c r="I181" s="11">
        <v>159.13</v>
      </c>
      <c r="J181" s="6" t="s">
        <v>22</v>
      </c>
      <c r="K181" s="6" t="s">
        <v>21</v>
      </c>
      <c r="L181" s="6" t="s">
        <v>21</v>
      </c>
      <c r="M181" s="2" t="str">
        <f t="shared" si="2"/>
        <v/>
      </c>
    </row>
    <row r="182" spans="1:13" x14ac:dyDescent="0.25">
      <c r="A182" s="6" t="s">
        <v>118</v>
      </c>
      <c r="B182" s="6" t="s">
        <v>119</v>
      </c>
      <c r="C182" s="6" t="s">
        <v>120</v>
      </c>
      <c r="D182" s="6" t="s">
        <v>877</v>
      </c>
      <c r="E182" s="6" t="s">
        <v>878</v>
      </c>
      <c r="F182" s="9">
        <v>45693</v>
      </c>
      <c r="G182" s="9">
        <v>45738</v>
      </c>
      <c r="H182" s="12">
        <v>-22</v>
      </c>
      <c r="I182" s="11">
        <v>392.9</v>
      </c>
      <c r="J182" s="6" t="s">
        <v>22</v>
      </c>
      <c r="K182" s="6" t="s">
        <v>21</v>
      </c>
      <c r="L182" s="6" t="s">
        <v>21</v>
      </c>
      <c r="M182" s="2" t="str">
        <f t="shared" si="2"/>
        <v/>
      </c>
    </row>
    <row r="183" spans="1:13" x14ac:dyDescent="0.25">
      <c r="A183" s="6" t="s">
        <v>118</v>
      </c>
      <c r="B183" s="6" t="s">
        <v>119</v>
      </c>
      <c r="C183" s="6" t="s">
        <v>120</v>
      </c>
      <c r="D183" s="6" t="s">
        <v>879</v>
      </c>
      <c r="E183" s="6" t="s">
        <v>880</v>
      </c>
      <c r="F183" s="9">
        <v>45693</v>
      </c>
      <c r="G183" s="9">
        <v>45738</v>
      </c>
      <c r="H183" s="12">
        <v>-22</v>
      </c>
      <c r="I183" s="11">
        <v>225</v>
      </c>
      <c r="J183" s="6" t="s">
        <v>22</v>
      </c>
      <c r="K183" s="6" t="s">
        <v>21</v>
      </c>
      <c r="L183" s="6" t="s">
        <v>21</v>
      </c>
      <c r="M183" s="2" t="str">
        <f t="shared" si="2"/>
        <v/>
      </c>
    </row>
    <row r="184" spans="1:13" x14ac:dyDescent="0.25">
      <c r="A184" s="6" t="s">
        <v>118</v>
      </c>
      <c r="B184" s="6" t="s">
        <v>119</v>
      </c>
      <c r="C184" s="6" t="s">
        <v>120</v>
      </c>
      <c r="D184" s="6" t="s">
        <v>881</v>
      </c>
      <c r="E184" s="6" t="s">
        <v>882</v>
      </c>
      <c r="F184" s="9">
        <v>45693</v>
      </c>
      <c r="G184" s="9">
        <v>45738</v>
      </c>
      <c r="H184" s="12">
        <v>-22</v>
      </c>
      <c r="I184" s="11">
        <v>437.98</v>
      </c>
      <c r="J184" s="6" t="s">
        <v>22</v>
      </c>
      <c r="K184" s="6" t="s">
        <v>21</v>
      </c>
      <c r="L184" s="6" t="s">
        <v>21</v>
      </c>
      <c r="M184" s="2" t="str">
        <f t="shared" si="2"/>
        <v/>
      </c>
    </row>
    <row r="185" spans="1:13" x14ac:dyDescent="0.25">
      <c r="A185" s="6" t="s">
        <v>118</v>
      </c>
      <c r="B185" s="6" t="s">
        <v>119</v>
      </c>
      <c r="C185" s="6" t="s">
        <v>120</v>
      </c>
      <c r="D185" s="6" t="s">
        <v>883</v>
      </c>
      <c r="E185" s="6" t="s">
        <v>884</v>
      </c>
      <c r="F185" s="9">
        <v>45693</v>
      </c>
      <c r="G185" s="9">
        <v>45738</v>
      </c>
      <c r="H185" s="12">
        <v>-22</v>
      </c>
      <c r="I185" s="11">
        <v>150.07</v>
      </c>
      <c r="J185" s="6" t="s">
        <v>22</v>
      </c>
      <c r="K185" s="6" t="s">
        <v>21</v>
      </c>
      <c r="L185" s="6" t="s">
        <v>21</v>
      </c>
      <c r="M185" s="2" t="str">
        <f t="shared" si="2"/>
        <v/>
      </c>
    </row>
    <row r="186" spans="1:13" x14ac:dyDescent="0.25">
      <c r="A186" s="6" t="s">
        <v>118</v>
      </c>
      <c r="B186" s="6" t="s">
        <v>119</v>
      </c>
      <c r="C186" s="6" t="s">
        <v>120</v>
      </c>
      <c r="D186" s="6" t="s">
        <v>885</v>
      </c>
      <c r="E186" s="6" t="s">
        <v>886</v>
      </c>
      <c r="F186" s="9">
        <v>45693</v>
      </c>
      <c r="G186" s="9">
        <v>45738</v>
      </c>
      <c r="H186" s="12">
        <v>-22</v>
      </c>
      <c r="I186" s="11">
        <v>627.98</v>
      </c>
      <c r="J186" s="6" t="s">
        <v>22</v>
      </c>
      <c r="K186" s="6" t="s">
        <v>21</v>
      </c>
      <c r="L186" s="6" t="s">
        <v>21</v>
      </c>
      <c r="M186" s="2" t="str">
        <f t="shared" si="2"/>
        <v/>
      </c>
    </row>
    <row r="187" spans="1:13" x14ac:dyDescent="0.25">
      <c r="A187" s="6" t="s">
        <v>118</v>
      </c>
      <c r="B187" s="6" t="s">
        <v>119</v>
      </c>
      <c r="C187" s="6" t="s">
        <v>120</v>
      </c>
      <c r="D187" s="6" t="s">
        <v>887</v>
      </c>
      <c r="E187" s="6" t="s">
        <v>888</v>
      </c>
      <c r="F187" s="9">
        <v>45693</v>
      </c>
      <c r="G187" s="9">
        <v>45738</v>
      </c>
      <c r="H187" s="12">
        <v>-22</v>
      </c>
      <c r="I187" s="11">
        <v>758.2</v>
      </c>
      <c r="J187" s="6" t="s">
        <v>22</v>
      </c>
      <c r="K187" s="6" t="s">
        <v>21</v>
      </c>
      <c r="L187" s="6" t="s">
        <v>21</v>
      </c>
      <c r="M187" s="2" t="str">
        <f t="shared" si="2"/>
        <v/>
      </c>
    </row>
    <row r="188" spans="1:13" x14ac:dyDescent="0.25">
      <c r="A188" s="6" t="s">
        <v>118</v>
      </c>
      <c r="B188" s="6" t="s">
        <v>119</v>
      </c>
      <c r="C188" s="6" t="s">
        <v>120</v>
      </c>
      <c r="D188" s="6" t="s">
        <v>889</v>
      </c>
      <c r="E188" s="6" t="s">
        <v>890</v>
      </c>
      <c r="F188" s="9">
        <v>45693</v>
      </c>
      <c r="G188" s="9">
        <v>45738</v>
      </c>
      <c r="H188" s="12">
        <v>-22</v>
      </c>
      <c r="I188" s="11">
        <v>333.25</v>
      </c>
      <c r="J188" s="6" t="s">
        <v>22</v>
      </c>
      <c r="K188" s="6" t="s">
        <v>21</v>
      </c>
      <c r="L188" s="6" t="s">
        <v>21</v>
      </c>
      <c r="M188" s="2" t="str">
        <f t="shared" si="2"/>
        <v/>
      </c>
    </row>
    <row r="189" spans="1:13" x14ac:dyDescent="0.25">
      <c r="A189" s="6" t="s">
        <v>118</v>
      </c>
      <c r="B189" s="6" t="s">
        <v>119</v>
      </c>
      <c r="C189" s="6" t="s">
        <v>120</v>
      </c>
      <c r="D189" s="6" t="s">
        <v>891</v>
      </c>
      <c r="E189" s="6" t="s">
        <v>892</v>
      </c>
      <c r="F189" s="9">
        <v>45693</v>
      </c>
      <c r="G189" s="9">
        <v>45738</v>
      </c>
      <c r="H189" s="12">
        <v>-22</v>
      </c>
      <c r="I189" s="11">
        <v>554.26</v>
      </c>
      <c r="J189" s="6" t="s">
        <v>22</v>
      </c>
      <c r="K189" s="6" t="s">
        <v>21</v>
      </c>
      <c r="L189" s="6" t="s">
        <v>21</v>
      </c>
      <c r="M189" s="2" t="str">
        <f t="shared" si="2"/>
        <v/>
      </c>
    </row>
    <row r="190" spans="1:13" x14ac:dyDescent="0.25">
      <c r="A190" s="6" t="s">
        <v>118</v>
      </c>
      <c r="B190" s="6" t="s">
        <v>119</v>
      </c>
      <c r="C190" s="6" t="s">
        <v>120</v>
      </c>
      <c r="D190" s="6" t="s">
        <v>893</v>
      </c>
      <c r="E190" s="6" t="s">
        <v>894</v>
      </c>
      <c r="F190" s="9">
        <v>45693</v>
      </c>
      <c r="G190" s="9">
        <v>45738</v>
      </c>
      <c r="H190" s="12">
        <v>-22</v>
      </c>
      <c r="I190" s="11">
        <v>1575</v>
      </c>
      <c r="J190" s="6" t="s">
        <v>22</v>
      </c>
      <c r="K190" s="6" t="s">
        <v>21</v>
      </c>
      <c r="L190" s="6" t="s">
        <v>21</v>
      </c>
      <c r="M190" s="2" t="str">
        <f t="shared" si="2"/>
        <v/>
      </c>
    </row>
    <row r="191" spans="1:13" x14ac:dyDescent="0.25">
      <c r="A191" s="6" t="s">
        <v>118</v>
      </c>
      <c r="B191" s="6" t="s">
        <v>119</v>
      </c>
      <c r="C191" s="6" t="s">
        <v>120</v>
      </c>
      <c r="D191" s="6" t="s">
        <v>895</v>
      </c>
      <c r="E191" s="6" t="s">
        <v>896</v>
      </c>
      <c r="F191" s="9">
        <v>45693</v>
      </c>
      <c r="G191" s="9">
        <v>45738</v>
      </c>
      <c r="H191" s="12">
        <v>-22</v>
      </c>
      <c r="I191" s="11">
        <v>256.7</v>
      </c>
      <c r="J191" s="6" t="s">
        <v>22</v>
      </c>
      <c r="K191" s="6" t="s">
        <v>21</v>
      </c>
      <c r="L191" s="6" t="s">
        <v>21</v>
      </c>
      <c r="M191" s="2" t="str">
        <f t="shared" si="2"/>
        <v/>
      </c>
    </row>
    <row r="192" spans="1:13" x14ac:dyDescent="0.25">
      <c r="A192" s="6" t="s">
        <v>118</v>
      </c>
      <c r="B192" s="6" t="s">
        <v>119</v>
      </c>
      <c r="C192" s="6" t="s">
        <v>120</v>
      </c>
      <c r="D192" s="6" t="s">
        <v>897</v>
      </c>
      <c r="E192" s="6" t="s">
        <v>898</v>
      </c>
      <c r="F192" s="9">
        <v>45693</v>
      </c>
      <c r="G192" s="9">
        <v>45738</v>
      </c>
      <c r="H192" s="12">
        <v>-22</v>
      </c>
      <c r="I192" s="11">
        <v>543.28</v>
      </c>
      <c r="J192" s="6" t="s">
        <v>22</v>
      </c>
      <c r="K192" s="6" t="s">
        <v>21</v>
      </c>
      <c r="L192" s="6" t="s">
        <v>21</v>
      </c>
      <c r="M192" s="2" t="str">
        <f t="shared" si="2"/>
        <v/>
      </c>
    </row>
    <row r="193" spans="1:13" x14ac:dyDescent="0.25">
      <c r="A193" s="6" t="s">
        <v>118</v>
      </c>
      <c r="B193" s="6" t="s">
        <v>119</v>
      </c>
      <c r="C193" s="6" t="s">
        <v>120</v>
      </c>
      <c r="D193" s="6" t="s">
        <v>899</v>
      </c>
      <c r="E193" s="6" t="s">
        <v>900</v>
      </c>
      <c r="F193" s="9">
        <v>45693</v>
      </c>
      <c r="G193" s="9">
        <v>45738</v>
      </c>
      <c r="H193" s="12">
        <v>-22</v>
      </c>
      <c r="I193" s="11">
        <v>531.72</v>
      </c>
      <c r="J193" s="6" t="s">
        <v>22</v>
      </c>
      <c r="K193" s="6" t="s">
        <v>21</v>
      </c>
      <c r="L193" s="6" t="s">
        <v>21</v>
      </c>
      <c r="M193" s="2" t="str">
        <f t="shared" si="2"/>
        <v/>
      </c>
    </row>
    <row r="194" spans="1:13" x14ac:dyDescent="0.25">
      <c r="A194" s="6" t="s">
        <v>118</v>
      </c>
      <c r="B194" s="6" t="s">
        <v>119</v>
      </c>
      <c r="C194" s="6" t="s">
        <v>120</v>
      </c>
      <c r="D194" s="6" t="s">
        <v>901</v>
      </c>
      <c r="E194" s="6" t="s">
        <v>902</v>
      </c>
      <c r="F194" s="9">
        <v>45693</v>
      </c>
      <c r="G194" s="9">
        <v>45738</v>
      </c>
      <c r="H194" s="12">
        <v>-22</v>
      </c>
      <c r="I194" s="11">
        <v>857.93</v>
      </c>
      <c r="J194" s="6" t="s">
        <v>22</v>
      </c>
      <c r="K194" s="6" t="s">
        <v>21</v>
      </c>
      <c r="L194" s="6" t="s">
        <v>21</v>
      </c>
      <c r="M194" s="2" t="str">
        <f t="shared" si="2"/>
        <v/>
      </c>
    </row>
    <row r="195" spans="1:13" x14ac:dyDescent="0.25">
      <c r="A195" s="6" t="s">
        <v>118</v>
      </c>
      <c r="B195" s="6" t="s">
        <v>119</v>
      </c>
      <c r="C195" s="6" t="s">
        <v>120</v>
      </c>
      <c r="D195" s="6" t="s">
        <v>903</v>
      </c>
      <c r="E195" s="6" t="s">
        <v>904</v>
      </c>
      <c r="F195" s="9">
        <v>45693</v>
      </c>
      <c r="G195" s="9">
        <v>45738</v>
      </c>
      <c r="H195" s="12">
        <v>-22</v>
      </c>
      <c r="I195" s="11">
        <v>231</v>
      </c>
      <c r="J195" s="6" t="s">
        <v>22</v>
      </c>
      <c r="K195" s="6" t="s">
        <v>21</v>
      </c>
      <c r="L195" s="6" t="s">
        <v>21</v>
      </c>
      <c r="M195" s="2" t="str">
        <f t="shared" ref="M195:M258" si="3">IF(H195&gt;0,I195,"")</f>
        <v/>
      </c>
    </row>
    <row r="196" spans="1:13" x14ac:dyDescent="0.25">
      <c r="A196" s="6" t="s">
        <v>118</v>
      </c>
      <c r="B196" s="6" t="s">
        <v>119</v>
      </c>
      <c r="C196" s="6" t="s">
        <v>120</v>
      </c>
      <c r="D196" s="6" t="s">
        <v>905</v>
      </c>
      <c r="E196" s="6" t="s">
        <v>906</v>
      </c>
      <c r="F196" s="9">
        <v>45693</v>
      </c>
      <c r="G196" s="9">
        <v>45738</v>
      </c>
      <c r="H196" s="12">
        <v>-22</v>
      </c>
      <c r="I196" s="11">
        <v>104.7</v>
      </c>
      <c r="J196" s="6" t="s">
        <v>22</v>
      </c>
      <c r="K196" s="6" t="s">
        <v>21</v>
      </c>
      <c r="L196" s="6" t="s">
        <v>21</v>
      </c>
      <c r="M196" s="2" t="str">
        <f t="shared" si="3"/>
        <v/>
      </c>
    </row>
    <row r="197" spans="1:13" x14ac:dyDescent="0.25">
      <c r="A197" s="6" t="s">
        <v>118</v>
      </c>
      <c r="B197" s="6" t="s">
        <v>119</v>
      </c>
      <c r="C197" s="6" t="s">
        <v>120</v>
      </c>
      <c r="D197" s="6" t="s">
        <v>907</v>
      </c>
      <c r="E197" s="6" t="s">
        <v>908</v>
      </c>
      <c r="F197" s="9">
        <v>45693</v>
      </c>
      <c r="G197" s="9">
        <v>45738</v>
      </c>
      <c r="H197" s="12">
        <v>-22</v>
      </c>
      <c r="I197" s="11">
        <v>190.5</v>
      </c>
      <c r="J197" s="6" t="s">
        <v>22</v>
      </c>
      <c r="K197" s="6" t="s">
        <v>21</v>
      </c>
      <c r="L197" s="6" t="s">
        <v>21</v>
      </c>
      <c r="M197" s="2" t="str">
        <f t="shared" si="3"/>
        <v/>
      </c>
    </row>
    <row r="198" spans="1:13" x14ac:dyDescent="0.25">
      <c r="A198" s="6" t="s">
        <v>118</v>
      </c>
      <c r="B198" s="6" t="s">
        <v>119</v>
      </c>
      <c r="C198" s="6" t="s">
        <v>120</v>
      </c>
      <c r="D198" s="6" t="s">
        <v>909</v>
      </c>
      <c r="E198" s="6" t="s">
        <v>910</v>
      </c>
      <c r="F198" s="9">
        <v>45693</v>
      </c>
      <c r="G198" s="9">
        <v>45738</v>
      </c>
      <c r="H198" s="12">
        <v>-22</v>
      </c>
      <c r="I198" s="11">
        <v>225</v>
      </c>
      <c r="J198" s="6" t="s">
        <v>22</v>
      </c>
      <c r="K198" s="6" t="s">
        <v>21</v>
      </c>
      <c r="L198" s="6" t="s">
        <v>21</v>
      </c>
      <c r="M198" s="2" t="str">
        <f t="shared" si="3"/>
        <v/>
      </c>
    </row>
    <row r="199" spans="1:13" x14ac:dyDescent="0.25">
      <c r="A199" s="6" t="s">
        <v>118</v>
      </c>
      <c r="B199" s="6" t="s">
        <v>119</v>
      </c>
      <c r="C199" s="6" t="s">
        <v>120</v>
      </c>
      <c r="D199" s="6" t="s">
        <v>911</v>
      </c>
      <c r="E199" s="6" t="s">
        <v>912</v>
      </c>
      <c r="F199" s="9">
        <v>45693</v>
      </c>
      <c r="G199" s="9">
        <v>45738</v>
      </c>
      <c r="H199" s="12">
        <v>-22</v>
      </c>
      <c r="I199" s="11">
        <v>97.68</v>
      </c>
      <c r="J199" s="6" t="s">
        <v>22</v>
      </c>
      <c r="K199" s="6" t="s">
        <v>21</v>
      </c>
      <c r="L199" s="6" t="s">
        <v>21</v>
      </c>
      <c r="M199" s="2" t="str">
        <f t="shared" si="3"/>
        <v/>
      </c>
    </row>
    <row r="200" spans="1:13" x14ac:dyDescent="0.25">
      <c r="A200" s="6" t="s">
        <v>118</v>
      </c>
      <c r="B200" s="6" t="s">
        <v>119</v>
      </c>
      <c r="C200" s="6" t="s">
        <v>120</v>
      </c>
      <c r="D200" s="6" t="s">
        <v>913</v>
      </c>
      <c r="E200" s="6" t="s">
        <v>914</v>
      </c>
      <c r="F200" s="9">
        <v>45693</v>
      </c>
      <c r="G200" s="9">
        <v>45723</v>
      </c>
      <c r="H200" s="12">
        <v>-7</v>
      </c>
      <c r="I200" s="11">
        <v>153</v>
      </c>
      <c r="J200" s="6" t="s">
        <v>22</v>
      </c>
      <c r="K200" s="6" t="s">
        <v>21</v>
      </c>
      <c r="L200" s="6" t="s">
        <v>21</v>
      </c>
      <c r="M200" s="2" t="str">
        <f t="shared" si="3"/>
        <v/>
      </c>
    </row>
    <row r="201" spans="1:13" x14ac:dyDescent="0.25">
      <c r="A201" s="6" t="s">
        <v>118</v>
      </c>
      <c r="B201" s="6" t="s">
        <v>119</v>
      </c>
      <c r="C201" s="6" t="s">
        <v>120</v>
      </c>
      <c r="D201" s="6" t="s">
        <v>915</v>
      </c>
      <c r="E201" s="6" t="s">
        <v>916</v>
      </c>
      <c r="F201" s="9">
        <v>45693</v>
      </c>
      <c r="G201" s="9">
        <v>45723</v>
      </c>
      <c r="H201" s="12">
        <v>-7</v>
      </c>
      <c r="I201" s="11">
        <v>528.26</v>
      </c>
      <c r="J201" s="6" t="s">
        <v>22</v>
      </c>
      <c r="K201" s="6" t="s">
        <v>21</v>
      </c>
      <c r="L201" s="6" t="s">
        <v>21</v>
      </c>
      <c r="M201" s="2" t="str">
        <f t="shared" si="3"/>
        <v/>
      </c>
    </row>
    <row r="202" spans="1:13" x14ac:dyDescent="0.25">
      <c r="A202" s="6" t="s">
        <v>118</v>
      </c>
      <c r="B202" s="6" t="s">
        <v>119</v>
      </c>
      <c r="C202" s="6" t="s">
        <v>120</v>
      </c>
      <c r="D202" s="6" t="s">
        <v>917</v>
      </c>
      <c r="E202" s="6" t="s">
        <v>918</v>
      </c>
      <c r="F202" s="9">
        <v>45693</v>
      </c>
      <c r="G202" s="9">
        <v>45738</v>
      </c>
      <c r="H202" s="12">
        <v>-22</v>
      </c>
      <c r="I202" s="11">
        <v>333.25</v>
      </c>
      <c r="J202" s="6" t="s">
        <v>22</v>
      </c>
      <c r="K202" s="6" t="s">
        <v>21</v>
      </c>
      <c r="L202" s="6" t="s">
        <v>21</v>
      </c>
      <c r="M202" s="2" t="str">
        <f t="shared" si="3"/>
        <v/>
      </c>
    </row>
    <row r="203" spans="1:13" x14ac:dyDescent="0.25">
      <c r="A203" s="6" t="s">
        <v>118</v>
      </c>
      <c r="B203" s="6" t="s">
        <v>119</v>
      </c>
      <c r="C203" s="6" t="s">
        <v>120</v>
      </c>
      <c r="D203" s="6" t="s">
        <v>919</v>
      </c>
      <c r="E203" s="6" t="s">
        <v>920</v>
      </c>
      <c r="F203" s="9">
        <v>45693</v>
      </c>
      <c r="G203" s="9">
        <v>45738</v>
      </c>
      <c r="H203" s="12">
        <v>-22</v>
      </c>
      <c r="I203" s="11">
        <v>75</v>
      </c>
      <c r="J203" s="6" t="s">
        <v>22</v>
      </c>
      <c r="K203" s="6" t="s">
        <v>21</v>
      </c>
      <c r="L203" s="6" t="s">
        <v>21</v>
      </c>
      <c r="M203" s="2" t="str">
        <f t="shared" si="3"/>
        <v/>
      </c>
    </row>
    <row r="204" spans="1:13" x14ac:dyDescent="0.25">
      <c r="A204" s="6" t="s">
        <v>118</v>
      </c>
      <c r="B204" s="6" t="s">
        <v>119</v>
      </c>
      <c r="C204" s="6" t="s">
        <v>120</v>
      </c>
      <c r="D204" s="6" t="s">
        <v>921</v>
      </c>
      <c r="E204" s="6" t="s">
        <v>922</v>
      </c>
      <c r="F204" s="9">
        <v>45693</v>
      </c>
      <c r="G204" s="9">
        <v>45723</v>
      </c>
      <c r="H204" s="12">
        <v>-7</v>
      </c>
      <c r="I204" s="11">
        <v>410.2</v>
      </c>
      <c r="J204" s="6" t="s">
        <v>22</v>
      </c>
      <c r="K204" s="6" t="s">
        <v>21</v>
      </c>
      <c r="L204" s="6" t="s">
        <v>21</v>
      </c>
      <c r="M204" s="2" t="str">
        <f t="shared" si="3"/>
        <v/>
      </c>
    </row>
    <row r="205" spans="1:13" x14ac:dyDescent="0.25">
      <c r="A205" s="6" t="s">
        <v>118</v>
      </c>
      <c r="B205" s="6" t="s">
        <v>119</v>
      </c>
      <c r="C205" s="6" t="s">
        <v>120</v>
      </c>
      <c r="D205" s="6" t="s">
        <v>923</v>
      </c>
      <c r="E205" s="6" t="s">
        <v>924</v>
      </c>
      <c r="F205" s="9">
        <v>45693</v>
      </c>
      <c r="G205" s="9">
        <v>45723</v>
      </c>
      <c r="H205" s="12">
        <v>-7</v>
      </c>
      <c r="I205" s="11">
        <v>75</v>
      </c>
      <c r="J205" s="6" t="s">
        <v>22</v>
      </c>
      <c r="K205" s="6" t="s">
        <v>21</v>
      </c>
      <c r="L205" s="6" t="s">
        <v>21</v>
      </c>
      <c r="M205" s="2" t="str">
        <f t="shared" si="3"/>
        <v/>
      </c>
    </row>
    <row r="206" spans="1:13" x14ac:dyDescent="0.25">
      <c r="A206" s="6" t="s">
        <v>118</v>
      </c>
      <c r="B206" s="6" t="s">
        <v>119</v>
      </c>
      <c r="C206" s="6" t="s">
        <v>120</v>
      </c>
      <c r="D206" s="6" t="s">
        <v>925</v>
      </c>
      <c r="E206" s="6" t="s">
        <v>926</v>
      </c>
      <c r="F206" s="9">
        <v>45693</v>
      </c>
      <c r="G206" s="9">
        <v>45723</v>
      </c>
      <c r="H206" s="12">
        <v>-7</v>
      </c>
      <c r="I206" s="11">
        <v>75</v>
      </c>
      <c r="J206" s="6" t="s">
        <v>22</v>
      </c>
      <c r="K206" s="6" t="s">
        <v>21</v>
      </c>
      <c r="L206" s="6" t="s">
        <v>21</v>
      </c>
      <c r="M206" s="2" t="str">
        <f t="shared" si="3"/>
        <v/>
      </c>
    </row>
    <row r="207" spans="1:13" x14ac:dyDescent="0.25">
      <c r="A207" s="6" t="s">
        <v>118</v>
      </c>
      <c r="B207" s="6" t="s">
        <v>119</v>
      </c>
      <c r="C207" s="6" t="s">
        <v>120</v>
      </c>
      <c r="D207" s="6" t="s">
        <v>927</v>
      </c>
      <c r="E207" s="6" t="s">
        <v>928</v>
      </c>
      <c r="F207" s="9">
        <v>45693</v>
      </c>
      <c r="G207" s="9">
        <v>45738</v>
      </c>
      <c r="H207" s="12">
        <v>-22</v>
      </c>
      <c r="I207" s="11">
        <v>75</v>
      </c>
      <c r="J207" s="6" t="s">
        <v>22</v>
      </c>
      <c r="K207" s="6" t="s">
        <v>21</v>
      </c>
      <c r="L207" s="6" t="s">
        <v>21</v>
      </c>
      <c r="M207" s="2" t="str">
        <f t="shared" si="3"/>
        <v/>
      </c>
    </row>
    <row r="208" spans="1:13" x14ac:dyDescent="0.25">
      <c r="A208" s="6" t="s">
        <v>118</v>
      </c>
      <c r="B208" s="6" t="s">
        <v>119</v>
      </c>
      <c r="C208" s="6" t="s">
        <v>120</v>
      </c>
      <c r="D208" s="6" t="s">
        <v>929</v>
      </c>
      <c r="E208" s="6" t="s">
        <v>930</v>
      </c>
      <c r="F208" s="9">
        <v>45693</v>
      </c>
      <c r="G208" s="9">
        <v>45723</v>
      </c>
      <c r="H208" s="12">
        <v>-7</v>
      </c>
      <c r="I208" s="11">
        <v>75</v>
      </c>
      <c r="J208" s="6" t="s">
        <v>22</v>
      </c>
      <c r="K208" s="6" t="s">
        <v>21</v>
      </c>
      <c r="L208" s="6" t="s">
        <v>21</v>
      </c>
      <c r="M208" s="2" t="str">
        <f t="shared" si="3"/>
        <v/>
      </c>
    </row>
    <row r="209" spans="1:13" x14ac:dyDescent="0.25">
      <c r="A209" s="6" t="s">
        <v>118</v>
      </c>
      <c r="B209" s="6" t="s">
        <v>119</v>
      </c>
      <c r="C209" s="6" t="s">
        <v>120</v>
      </c>
      <c r="D209" s="6" t="s">
        <v>931</v>
      </c>
      <c r="E209" s="6" t="s">
        <v>932</v>
      </c>
      <c r="F209" s="9">
        <v>45693</v>
      </c>
      <c r="G209" s="9">
        <v>45723</v>
      </c>
      <c r="H209" s="12">
        <v>-7</v>
      </c>
      <c r="I209" s="11">
        <v>1191</v>
      </c>
      <c r="J209" s="6" t="s">
        <v>22</v>
      </c>
      <c r="K209" s="6" t="s">
        <v>21</v>
      </c>
      <c r="L209" s="6" t="s">
        <v>21</v>
      </c>
      <c r="M209" s="2" t="str">
        <f t="shared" si="3"/>
        <v/>
      </c>
    </row>
    <row r="210" spans="1:13" x14ac:dyDescent="0.25">
      <c r="A210" s="6" t="s">
        <v>118</v>
      </c>
      <c r="B210" s="6" t="s">
        <v>119</v>
      </c>
      <c r="C210" s="6" t="s">
        <v>120</v>
      </c>
      <c r="D210" s="6" t="s">
        <v>933</v>
      </c>
      <c r="E210" s="6" t="s">
        <v>934</v>
      </c>
      <c r="F210" s="9">
        <v>45693</v>
      </c>
      <c r="G210" s="9">
        <v>45723</v>
      </c>
      <c r="H210" s="12">
        <v>-7</v>
      </c>
      <c r="I210" s="11">
        <v>190.5</v>
      </c>
      <c r="J210" s="6" t="s">
        <v>22</v>
      </c>
      <c r="K210" s="6" t="s">
        <v>21</v>
      </c>
      <c r="L210" s="6" t="s">
        <v>21</v>
      </c>
      <c r="M210" s="2" t="str">
        <f t="shared" si="3"/>
        <v/>
      </c>
    </row>
    <row r="211" spans="1:13" x14ac:dyDescent="0.25">
      <c r="A211" s="6" t="s">
        <v>118</v>
      </c>
      <c r="B211" s="6" t="s">
        <v>119</v>
      </c>
      <c r="C211" s="6" t="s">
        <v>120</v>
      </c>
      <c r="D211" s="6" t="s">
        <v>935</v>
      </c>
      <c r="E211" s="6" t="s">
        <v>936</v>
      </c>
      <c r="F211" s="9">
        <v>45693</v>
      </c>
      <c r="G211" s="9">
        <v>45738</v>
      </c>
      <c r="H211" s="12">
        <v>-22</v>
      </c>
      <c r="I211" s="11">
        <v>29.7</v>
      </c>
      <c r="J211" s="6" t="s">
        <v>22</v>
      </c>
      <c r="K211" s="6" t="s">
        <v>21</v>
      </c>
      <c r="L211" s="6" t="s">
        <v>21</v>
      </c>
      <c r="M211" s="2" t="str">
        <f t="shared" si="3"/>
        <v/>
      </c>
    </row>
    <row r="212" spans="1:13" x14ac:dyDescent="0.25">
      <c r="A212" s="6" t="s">
        <v>118</v>
      </c>
      <c r="B212" s="6" t="s">
        <v>119</v>
      </c>
      <c r="C212" s="6" t="s">
        <v>120</v>
      </c>
      <c r="D212" s="6" t="s">
        <v>937</v>
      </c>
      <c r="E212" s="6" t="s">
        <v>938</v>
      </c>
      <c r="F212" s="9">
        <v>45693</v>
      </c>
      <c r="G212" s="9">
        <v>45738</v>
      </c>
      <c r="H212" s="12">
        <v>-22</v>
      </c>
      <c r="I212" s="11">
        <v>75</v>
      </c>
      <c r="J212" s="6" t="s">
        <v>22</v>
      </c>
      <c r="K212" s="6" t="s">
        <v>21</v>
      </c>
      <c r="L212" s="6" t="s">
        <v>21</v>
      </c>
      <c r="M212" s="2" t="str">
        <f t="shared" si="3"/>
        <v/>
      </c>
    </row>
    <row r="213" spans="1:13" x14ac:dyDescent="0.25">
      <c r="A213" s="6" t="s">
        <v>118</v>
      </c>
      <c r="B213" s="6" t="s">
        <v>119</v>
      </c>
      <c r="C213" s="6" t="s">
        <v>120</v>
      </c>
      <c r="D213" s="6" t="s">
        <v>939</v>
      </c>
      <c r="E213" s="6" t="s">
        <v>940</v>
      </c>
      <c r="F213" s="9">
        <v>45693</v>
      </c>
      <c r="G213" s="9">
        <v>45738</v>
      </c>
      <c r="H213" s="12">
        <v>-22</v>
      </c>
      <c r="I213" s="11">
        <v>29.7</v>
      </c>
      <c r="J213" s="6" t="s">
        <v>22</v>
      </c>
      <c r="K213" s="6" t="s">
        <v>21</v>
      </c>
      <c r="L213" s="6" t="s">
        <v>21</v>
      </c>
      <c r="M213" s="2" t="str">
        <f t="shared" si="3"/>
        <v/>
      </c>
    </row>
    <row r="214" spans="1:13" x14ac:dyDescent="0.25">
      <c r="A214" s="6" t="s">
        <v>118</v>
      </c>
      <c r="B214" s="6" t="s">
        <v>119</v>
      </c>
      <c r="C214" s="6" t="s">
        <v>120</v>
      </c>
      <c r="D214" s="6" t="s">
        <v>941</v>
      </c>
      <c r="E214" s="6" t="s">
        <v>942</v>
      </c>
      <c r="F214" s="9">
        <v>45693</v>
      </c>
      <c r="G214" s="9">
        <v>45723</v>
      </c>
      <c r="H214" s="12">
        <v>-7</v>
      </c>
      <c r="I214" s="11">
        <v>870.83</v>
      </c>
      <c r="J214" s="6" t="s">
        <v>22</v>
      </c>
      <c r="K214" s="6" t="s">
        <v>21</v>
      </c>
      <c r="L214" s="6" t="s">
        <v>21</v>
      </c>
      <c r="M214" s="2" t="str">
        <f t="shared" si="3"/>
        <v/>
      </c>
    </row>
    <row r="215" spans="1:13" x14ac:dyDescent="0.25">
      <c r="A215" s="6" t="s">
        <v>118</v>
      </c>
      <c r="B215" s="6" t="s">
        <v>119</v>
      </c>
      <c r="C215" s="6" t="s">
        <v>120</v>
      </c>
      <c r="D215" s="6" t="s">
        <v>943</v>
      </c>
      <c r="E215" s="6" t="s">
        <v>944</v>
      </c>
      <c r="F215" s="9">
        <v>45693</v>
      </c>
      <c r="G215" s="9">
        <v>45738</v>
      </c>
      <c r="H215" s="12">
        <v>-22</v>
      </c>
      <c r="I215" s="11">
        <v>183.62</v>
      </c>
      <c r="J215" s="6" t="s">
        <v>22</v>
      </c>
      <c r="K215" s="6" t="s">
        <v>21</v>
      </c>
      <c r="L215" s="6" t="s">
        <v>21</v>
      </c>
      <c r="M215" s="2" t="str">
        <f t="shared" si="3"/>
        <v/>
      </c>
    </row>
    <row r="216" spans="1:13" x14ac:dyDescent="0.25">
      <c r="A216" s="6" t="s">
        <v>118</v>
      </c>
      <c r="B216" s="6" t="s">
        <v>119</v>
      </c>
      <c r="C216" s="6" t="s">
        <v>120</v>
      </c>
      <c r="D216" s="6" t="s">
        <v>945</v>
      </c>
      <c r="E216" s="6" t="s">
        <v>946</v>
      </c>
      <c r="F216" s="9">
        <v>45693</v>
      </c>
      <c r="G216" s="9">
        <v>45738</v>
      </c>
      <c r="H216" s="12">
        <v>-22</v>
      </c>
      <c r="I216" s="11">
        <v>50.92</v>
      </c>
      <c r="J216" s="6" t="s">
        <v>22</v>
      </c>
      <c r="K216" s="6" t="s">
        <v>21</v>
      </c>
      <c r="L216" s="6" t="s">
        <v>21</v>
      </c>
      <c r="M216" s="2" t="str">
        <f t="shared" si="3"/>
        <v/>
      </c>
    </row>
    <row r="217" spans="1:13" x14ac:dyDescent="0.25">
      <c r="A217" s="6" t="s">
        <v>118</v>
      </c>
      <c r="B217" s="6" t="s">
        <v>119</v>
      </c>
      <c r="C217" s="6" t="s">
        <v>120</v>
      </c>
      <c r="D217" s="6" t="s">
        <v>947</v>
      </c>
      <c r="E217" s="6" t="s">
        <v>948</v>
      </c>
      <c r="F217" s="9">
        <v>45693</v>
      </c>
      <c r="G217" s="9">
        <v>45723</v>
      </c>
      <c r="H217" s="12">
        <v>-7</v>
      </c>
      <c r="I217" s="11">
        <v>29.7</v>
      </c>
      <c r="J217" s="6" t="s">
        <v>22</v>
      </c>
      <c r="K217" s="6" t="s">
        <v>21</v>
      </c>
      <c r="L217" s="6" t="s">
        <v>21</v>
      </c>
      <c r="M217" s="2" t="str">
        <f t="shared" si="3"/>
        <v/>
      </c>
    </row>
    <row r="218" spans="1:13" x14ac:dyDescent="0.25">
      <c r="A218" s="6" t="s">
        <v>118</v>
      </c>
      <c r="B218" s="6" t="s">
        <v>119</v>
      </c>
      <c r="C218" s="6" t="s">
        <v>120</v>
      </c>
      <c r="D218" s="6" t="s">
        <v>949</v>
      </c>
      <c r="E218" s="6" t="s">
        <v>950</v>
      </c>
      <c r="F218" s="9">
        <v>45693</v>
      </c>
      <c r="G218" s="9">
        <v>45723</v>
      </c>
      <c r="H218" s="12">
        <v>-7</v>
      </c>
      <c r="I218" s="11">
        <v>312</v>
      </c>
      <c r="J218" s="6" t="s">
        <v>22</v>
      </c>
      <c r="K218" s="6" t="s">
        <v>21</v>
      </c>
      <c r="L218" s="6" t="s">
        <v>21</v>
      </c>
      <c r="M218" s="2" t="str">
        <f t="shared" si="3"/>
        <v/>
      </c>
    </row>
    <row r="219" spans="1:13" x14ac:dyDescent="0.25">
      <c r="A219" s="6" t="s">
        <v>118</v>
      </c>
      <c r="B219" s="6" t="s">
        <v>119</v>
      </c>
      <c r="C219" s="6" t="s">
        <v>120</v>
      </c>
      <c r="D219" s="6" t="s">
        <v>951</v>
      </c>
      <c r="E219" s="6" t="s">
        <v>952</v>
      </c>
      <c r="F219" s="9">
        <v>45693</v>
      </c>
      <c r="G219" s="9">
        <v>45723</v>
      </c>
      <c r="H219" s="12">
        <v>-7</v>
      </c>
      <c r="I219" s="11">
        <v>540</v>
      </c>
      <c r="J219" s="6" t="s">
        <v>22</v>
      </c>
      <c r="K219" s="6" t="s">
        <v>21</v>
      </c>
      <c r="L219" s="6" t="s">
        <v>21</v>
      </c>
      <c r="M219" s="2" t="str">
        <f t="shared" si="3"/>
        <v/>
      </c>
    </row>
    <row r="220" spans="1:13" x14ac:dyDescent="0.25">
      <c r="A220" s="6" t="s">
        <v>118</v>
      </c>
      <c r="B220" s="6" t="s">
        <v>119</v>
      </c>
      <c r="C220" s="6" t="s">
        <v>120</v>
      </c>
      <c r="D220" s="6" t="s">
        <v>953</v>
      </c>
      <c r="E220" s="6" t="s">
        <v>954</v>
      </c>
      <c r="F220" s="9">
        <v>45693</v>
      </c>
      <c r="G220" s="9">
        <v>45723</v>
      </c>
      <c r="H220" s="12">
        <v>-7</v>
      </c>
      <c r="I220" s="11">
        <v>37.5</v>
      </c>
      <c r="J220" s="6" t="s">
        <v>22</v>
      </c>
      <c r="K220" s="6" t="s">
        <v>21</v>
      </c>
      <c r="L220" s="6" t="s">
        <v>21</v>
      </c>
      <c r="M220" s="2" t="str">
        <f t="shared" si="3"/>
        <v/>
      </c>
    </row>
    <row r="221" spans="1:13" x14ac:dyDescent="0.25">
      <c r="A221" s="6" t="s">
        <v>118</v>
      </c>
      <c r="B221" s="6" t="s">
        <v>119</v>
      </c>
      <c r="C221" s="6" t="s">
        <v>120</v>
      </c>
      <c r="D221" s="6" t="s">
        <v>955</v>
      </c>
      <c r="E221" s="6" t="s">
        <v>956</v>
      </c>
      <c r="F221" s="9">
        <v>45693</v>
      </c>
      <c r="G221" s="9">
        <v>45738</v>
      </c>
      <c r="H221" s="12">
        <v>-22</v>
      </c>
      <c r="I221" s="11">
        <v>78.900000000000006</v>
      </c>
      <c r="J221" s="6" t="s">
        <v>22</v>
      </c>
      <c r="K221" s="6" t="s">
        <v>21</v>
      </c>
      <c r="L221" s="6" t="s">
        <v>21</v>
      </c>
      <c r="M221" s="2" t="str">
        <f t="shared" si="3"/>
        <v/>
      </c>
    </row>
    <row r="222" spans="1:13" x14ac:dyDescent="0.25">
      <c r="A222" s="6" t="s">
        <v>118</v>
      </c>
      <c r="B222" s="6" t="s">
        <v>119</v>
      </c>
      <c r="C222" s="6" t="s">
        <v>120</v>
      </c>
      <c r="D222" s="6" t="s">
        <v>957</v>
      </c>
      <c r="E222" s="6" t="s">
        <v>958</v>
      </c>
      <c r="F222" s="9">
        <v>45693</v>
      </c>
      <c r="G222" s="9">
        <v>45723</v>
      </c>
      <c r="H222" s="12">
        <v>-7</v>
      </c>
      <c r="I222" s="11">
        <v>300</v>
      </c>
      <c r="J222" s="6" t="s">
        <v>22</v>
      </c>
      <c r="K222" s="6" t="s">
        <v>21</v>
      </c>
      <c r="L222" s="6" t="s">
        <v>21</v>
      </c>
      <c r="M222" s="2" t="str">
        <f t="shared" si="3"/>
        <v/>
      </c>
    </row>
    <row r="223" spans="1:13" x14ac:dyDescent="0.25">
      <c r="A223" s="6" t="s">
        <v>118</v>
      </c>
      <c r="B223" s="6" t="s">
        <v>119</v>
      </c>
      <c r="C223" s="6" t="s">
        <v>120</v>
      </c>
      <c r="D223" s="6" t="s">
        <v>959</v>
      </c>
      <c r="E223" s="6" t="s">
        <v>960</v>
      </c>
      <c r="F223" s="9">
        <v>45693</v>
      </c>
      <c r="G223" s="9">
        <v>45723</v>
      </c>
      <c r="H223" s="12">
        <v>-7</v>
      </c>
      <c r="I223" s="11">
        <v>334.9</v>
      </c>
      <c r="J223" s="6" t="s">
        <v>22</v>
      </c>
      <c r="K223" s="6" t="s">
        <v>21</v>
      </c>
      <c r="L223" s="6" t="s">
        <v>21</v>
      </c>
      <c r="M223" s="2" t="str">
        <f t="shared" si="3"/>
        <v/>
      </c>
    </row>
    <row r="224" spans="1:13" x14ac:dyDescent="0.25">
      <c r="A224" s="6" t="s">
        <v>118</v>
      </c>
      <c r="B224" s="6" t="s">
        <v>119</v>
      </c>
      <c r="C224" s="6" t="s">
        <v>120</v>
      </c>
      <c r="D224" s="6" t="s">
        <v>961</v>
      </c>
      <c r="E224" s="6" t="s">
        <v>962</v>
      </c>
      <c r="F224" s="9">
        <v>45693</v>
      </c>
      <c r="G224" s="9">
        <v>45738</v>
      </c>
      <c r="H224" s="12">
        <v>-22</v>
      </c>
      <c r="I224" s="11">
        <v>499.8</v>
      </c>
      <c r="J224" s="6" t="s">
        <v>22</v>
      </c>
      <c r="K224" s="6" t="s">
        <v>21</v>
      </c>
      <c r="L224" s="6" t="s">
        <v>21</v>
      </c>
      <c r="M224" s="2" t="str">
        <f t="shared" si="3"/>
        <v/>
      </c>
    </row>
    <row r="225" spans="1:13" x14ac:dyDescent="0.25">
      <c r="A225" s="6" t="s">
        <v>118</v>
      </c>
      <c r="B225" s="6" t="s">
        <v>119</v>
      </c>
      <c r="C225" s="6" t="s">
        <v>120</v>
      </c>
      <c r="D225" s="6" t="s">
        <v>963</v>
      </c>
      <c r="E225" s="6" t="s">
        <v>964</v>
      </c>
      <c r="F225" s="9">
        <v>45693</v>
      </c>
      <c r="G225" s="9">
        <v>45723</v>
      </c>
      <c r="H225" s="12">
        <v>-7</v>
      </c>
      <c r="I225" s="11">
        <v>1124.1099999999999</v>
      </c>
      <c r="J225" s="6" t="s">
        <v>22</v>
      </c>
      <c r="K225" s="6" t="s">
        <v>21</v>
      </c>
      <c r="L225" s="6" t="s">
        <v>21</v>
      </c>
      <c r="M225" s="2" t="str">
        <f t="shared" si="3"/>
        <v/>
      </c>
    </row>
    <row r="226" spans="1:13" x14ac:dyDescent="0.25">
      <c r="A226" s="6" t="s">
        <v>118</v>
      </c>
      <c r="B226" s="6" t="s">
        <v>119</v>
      </c>
      <c r="C226" s="6" t="s">
        <v>120</v>
      </c>
      <c r="D226" s="6" t="s">
        <v>965</v>
      </c>
      <c r="E226" s="6" t="s">
        <v>966</v>
      </c>
      <c r="F226" s="9">
        <v>45693</v>
      </c>
      <c r="G226" s="9">
        <v>45738</v>
      </c>
      <c r="H226" s="12">
        <v>-22</v>
      </c>
      <c r="I226" s="11">
        <v>593.04</v>
      </c>
      <c r="J226" s="6" t="s">
        <v>22</v>
      </c>
      <c r="K226" s="6" t="s">
        <v>21</v>
      </c>
      <c r="L226" s="6" t="s">
        <v>21</v>
      </c>
      <c r="M226" s="2" t="str">
        <f t="shared" si="3"/>
        <v/>
      </c>
    </row>
    <row r="227" spans="1:13" x14ac:dyDescent="0.25">
      <c r="A227" s="6" t="s">
        <v>118</v>
      </c>
      <c r="B227" s="6" t="s">
        <v>119</v>
      </c>
      <c r="C227" s="6" t="s">
        <v>120</v>
      </c>
      <c r="D227" s="6" t="s">
        <v>967</v>
      </c>
      <c r="E227" s="6" t="s">
        <v>968</v>
      </c>
      <c r="F227" s="9">
        <v>45693</v>
      </c>
      <c r="G227" s="9">
        <v>45723</v>
      </c>
      <c r="H227" s="12">
        <v>-7</v>
      </c>
      <c r="I227" s="11">
        <v>1712.72</v>
      </c>
      <c r="J227" s="6" t="s">
        <v>22</v>
      </c>
      <c r="K227" s="6" t="s">
        <v>21</v>
      </c>
      <c r="L227" s="6" t="s">
        <v>21</v>
      </c>
      <c r="M227" s="2" t="str">
        <f t="shared" si="3"/>
        <v/>
      </c>
    </row>
    <row r="228" spans="1:13" x14ac:dyDescent="0.25">
      <c r="A228" s="6" t="s">
        <v>118</v>
      </c>
      <c r="B228" s="6" t="s">
        <v>119</v>
      </c>
      <c r="C228" s="6" t="s">
        <v>120</v>
      </c>
      <c r="D228" s="6" t="s">
        <v>969</v>
      </c>
      <c r="E228" s="6" t="s">
        <v>970</v>
      </c>
      <c r="F228" s="9">
        <v>45693</v>
      </c>
      <c r="G228" s="9">
        <v>45723</v>
      </c>
      <c r="H228" s="12">
        <v>-7</v>
      </c>
      <c r="I228" s="11">
        <v>1575.78</v>
      </c>
      <c r="J228" s="6" t="s">
        <v>22</v>
      </c>
      <c r="K228" s="6" t="s">
        <v>21</v>
      </c>
      <c r="L228" s="6" t="s">
        <v>21</v>
      </c>
      <c r="M228" s="2" t="str">
        <f t="shared" si="3"/>
        <v/>
      </c>
    </row>
    <row r="229" spans="1:13" x14ac:dyDescent="0.25">
      <c r="A229" s="6" t="s">
        <v>118</v>
      </c>
      <c r="B229" s="6" t="s">
        <v>119</v>
      </c>
      <c r="C229" s="6" t="s">
        <v>120</v>
      </c>
      <c r="D229" s="6" t="s">
        <v>971</v>
      </c>
      <c r="E229" s="6" t="s">
        <v>972</v>
      </c>
      <c r="F229" s="9">
        <v>45693</v>
      </c>
      <c r="G229" s="9">
        <v>45723</v>
      </c>
      <c r="H229" s="12">
        <v>-7</v>
      </c>
      <c r="I229" s="11">
        <v>225</v>
      </c>
      <c r="J229" s="6" t="s">
        <v>22</v>
      </c>
      <c r="K229" s="6" t="s">
        <v>21</v>
      </c>
      <c r="L229" s="6" t="s">
        <v>21</v>
      </c>
      <c r="M229" s="2" t="str">
        <f t="shared" si="3"/>
        <v/>
      </c>
    </row>
    <row r="230" spans="1:13" x14ac:dyDescent="0.25">
      <c r="A230" s="6" t="s">
        <v>118</v>
      </c>
      <c r="B230" s="6" t="s">
        <v>119</v>
      </c>
      <c r="C230" s="6" t="s">
        <v>120</v>
      </c>
      <c r="D230" s="6" t="s">
        <v>973</v>
      </c>
      <c r="E230" s="6" t="s">
        <v>974</v>
      </c>
      <c r="F230" s="9">
        <v>45693</v>
      </c>
      <c r="G230" s="9">
        <v>45723</v>
      </c>
      <c r="H230" s="12">
        <v>-7</v>
      </c>
      <c r="I230" s="11">
        <v>203.26</v>
      </c>
      <c r="J230" s="6" t="s">
        <v>22</v>
      </c>
      <c r="K230" s="6" t="s">
        <v>21</v>
      </c>
      <c r="L230" s="6" t="s">
        <v>21</v>
      </c>
      <c r="M230" s="2" t="str">
        <f t="shared" si="3"/>
        <v/>
      </c>
    </row>
    <row r="231" spans="1:13" x14ac:dyDescent="0.25">
      <c r="A231" s="6" t="s">
        <v>118</v>
      </c>
      <c r="B231" s="6" t="s">
        <v>119</v>
      </c>
      <c r="C231" s="6" t="s">
        <v>120</v>
      </c>
      <c r="D231" s="6" t="s">
        <v>975</v>
      </c>
      <c r="E231" s="6" t="s">
        <v>976</v>
      </c>
      <c r="F231" s="9">
        <v>45693</v>
      </c>
      <c r="G231" s="9">
        <v>45723</v>
      </c>
      <c r="H231" s="12">
        <v>-7</v>
      </c>
      <c r="I231" s="11">
        <v>541.5</v>
      </c>
      <c r="J231" s="6" t="s">
        <v>22</v>
      </c>
      <c r="K231" s="6" t="s">
        <v>21</v>
      </c>
      <c r="L231" s="6" t="s">
        <v>21</v>
      </c>
      <c r="M231" s="2" t="str">
        <f t="shared" si="3"/>
        <v/>
      </c>
    </row>
    <row r="232" spans="1:13" x14ac:dyDescent="0.25">
      <c r="A232" s="6" t="s">
        <v>118</v>
      </c>
      <c r="B232" s="6" t="s">
        <v>119</v>
      </c>
      <c r="C232" s="6" t="s">
        <v>120</v>
      </c>
      <c r="D232" s="6" t="s">
        <v>977</v>
      </c>
      <c r="E232" s="6" t="s">
        <v>978</v>
      </c>
      <c r="F232" s="9">
        <v>45693</v>
      </c>
      <c r="G232" s="9">
        <v>45738</v>
      </c>
      <c r="H232" s="12">
        <v>-22</v>
      </c>
      <c r="I232" s="11">
        <v>75</v>
      </c>
      <c r="J232" s="6" t="s">
        <v>22</v>
      </c>
      <c r="K232" s="6" t="s">
        <v>21</v>
      </c>
      <c r="L232" s="6" t="s">
        <v>21</v>
      </c>
      <c r="M232" s="2" t="str">
        <f t="shared" si="3"/>
        <v/>
      </c>
    </row>
    <row r="233" spans="1:13" x14ac:dyDescent="0.25">
      <c r="A233" s="6" t="s">
        <v>118</v>
      </c>
      <c r="B233" s="6" t="s">
        <v>119</v>
      </c>
      <c r="C233" s="6" t="s">
        <v>120</v>
      </c>
      <c r="D233" s="6" t="s">
        <v>979</v>
      </c>
      <c r="E233" s="6" t="s">
        <v>980</v>
      </c>
      <c r="F233" s="9">
        <v>45693</v>
      </c>
      <c r="G233" s="9">
        <v>45738</v>
      </c>
      <c r="H233" s="12">
        <v>-22</v>
      </c>
      <c r="I233" s="11">
        <v>1650.88</v>
      </c>
      <c r="J233" s="6" t="s">
        <v>22</v>
      </c>
      <c r="K233" s="6" t="s">
        <v>21</v>
      </c>
      <c r="L233" s="6" t="s">
        <v>21</v>
      </c>
      <c r="M233" s="2" t="str">
        <f t="shared" si="3"/>
        <v/>
      </c>
    </row>
    <row r="234" spans="1:13" x14ac:dyDescent="0.25">
      <c r="A234" s="6" t="s">
        <v>118</v>
      </c>
      <c r="B234" s="6" t="s">
        <v>119</v>
      </c>
      <c r="C234" s="6" t="s">
        <v>120</v>
      </c>
      <c r="D234" s="6" t="s">
        <v>981</v>
      </c>
      <c r="E234" s="6" t="s">
        <v>982</v>
      </c>
      <c r="F234" s="9">
        <v>45693</v>
      </c>
      <c r="G234" s="9">
        <v>45723</v>
      </c>
      <c r="H234" s="12">
        <v>-7</v>
      </c>
      <c r="I234" s="11">
        <v>667.06</v>
      </c>
      <c r="J234" s="6" t="s">
        <v>22</v>
      </c>
      <c r="K234" s="6" t="s">
        <v>21</v>
      </c>
      <c r="L234" s="6" t="s">
        <v>21</v>
      </c>
      <c r="M234" s="2" t="str">
        <f t="shared" si="3"/>
        <v/>
      </c>
    </row>
    <row r="235" spans="1:13" x14ac:dyDescent="0.25">
      <c r="A235" s="6" t="s">
        <v>118</v>
      </c>
      <c r="B235" s="6" t="s">
        <v>119</v>
      </c>
      <c r="C235" s="6" t="s">
        <v>120</v>
      </c>
      <c r="D235" s="6" t="s">
        <v>983</v>
      </c>
      <c r="E235" s="6" t="s">
        <v>984</v>
      </c>
      <c r="F235" s="9">
        <v>45693</v>
      </c>
      <c r="G235" s="9">
        <v>45738</v>
      </c>
      <c r="H235" s="12">
        <v>-22</v>
      </c>
      <c r="I235" s="11">
        <v>231.04</v>
      </c>
      <c r="J235" s="6" t="s">
        <v>22</v>
      </c>
      <c r="K235" s="6" t="s">
        <v>21</v>
      </c>
      <c r="L235" s="6" t="s">
        <v>21</v>
      </c>
      <c r="M235" s="2" t="str">
        <f t="shared" si="3"/>
        <v/>
      </c>
    </row>
    <row r="236" spans="1:13" x14ac:dyDescent="0.25">
      <c r="A236" s="6" t="s">
        <v>118</v>
      </c>
      <c r="B236" s="6" t="s">
        <v>119</v>
      </c>
      <c r="C236" s="6" t="s">
        <v>120</v>
      </c>
      <c r="D236" s="6" t="s">
        <v>985</v>
      </c>
      <c r="E236" s="6" t="s">
        <v>986</v>
      </c>
      <c r="F236" s="9">
        <v>45693</v>
      </c>
      <c r="G236" s="9">
        <v>45723</v>
      </c>
      <c r="H236" s="12">
        <v>-7</v>
      </c>
      <c r="I236" s="11">
        <v>231</v>
      </c>
      <c r="J236" s="6" t="s">
        <v>22</v>
      </c>
      <c r="K236" s="6" t="s">
        <v>21</v>
      </c>
      <c r="L236" s="6" t="s">
        <v>21</v>
      </c>
      <c r="M236" s="2" t="str">
        <f t="shared" si="3"/>
        <v/>
      </c>
    </row>
    <row r="237" spans="1:13" x14ac:dyDescent="0.25">
      <c r="A237" s="6" t="s">
        <v>118</v>
      </c>
      <c r="B237" s="6" t="s">
        <v>119</v>
      </c>
      <c r="C237" s="6" t="s">
        <v>120</v>
      </c>
      <c r="D237" s="6" t="s">
        <v>987</v>
      </c>
      <c r="E237" s="6" t="s">
        <v>988</v>
      </c>
      <c r="F237" s="9">
        <v>45693</v>
      </c>
      <c r="G237" s="9">
        <v>45723</v>
      </c>
      <c r="H237" s="12">
        <v>-7</v>
      </c>
      <c r="I237" s="11">
        <v>53.7</v>
      </c>
      <c r="J237" s="6" t="s">
        <v>22</v>
      </c>
      <c r="K237" s="6" t="s">
        <v>21</v>
      </c>
      <c r="L237" s="6" t="s">
        <v>21</v>
      </c>
      <c r="M237" s="2" t="str">
        <f t="shared" si="3"/>
        <v/>
      </c>
    </row>
    <row r="238" spans="1:13" x14ac:dyDescent="0.25">
      <c r="A238" s="6" t="s">
        <v>118</v>
      </c>
      <c r="B238" s="6" t="s">
        <v>119</v>
      </c>
      <c r="C238" s="6" t="s">
        <v>120</v>
      </c>
      <c r="D238" s="6" t="s">
        <v>989</v>
      </c>
      <c r="E238" s="6" t="s">
        <v>990</v>
      </c>
      <c r="F238" s="9">
        <v>45693</v>
      </c>
      <c r="G238" s="9">
        <v>45723</v>
      </c>
      <c r="H238" s="12">
        <v>-7</v>
      </c>
      <c r="I238" s="11">
        <v>484.66</v>
      </c>
      <c r="J238" s="6" t="s">
        <v>22</v>
      </c>
      <c r="K238" s="6" t="s">
        <v>21</v>
      </c>
      <c r="L238" s="6" t="s">
        <v>21</v>
      </c>
      <c r="M238" s="2" t="str">
        <f t="shared" si="3"/>
        <v/>
      </c>
    </row>
    <row r="239" spans="1:13" x14ac:dyDescent="0.25">
      <c r="A239" s="6" t="s">
        <v>118</v>
      </c>
      <c r="B239" s="6" t="s">
        <v>119</v>
      </c>
      <c r="C239" s="6" t="s">
        <v>120</v>
      </c>
      <c r="D239" s="6" t="s">
        <v>991</v>
      </c>
      <c r="E239" s="6" t="s">
        <v>992</v>
      </c>
      <c r="F239" s="9">
        <v>45693</v>
      </c>
      <c r="G239" s="9">
        <v>45723</v>
      </c>
      <c r="H239" s="12">
        <v>-7</v>
      </c>
      <c r="I239" s="11">
        <v>208.51</v>
      </c>
      <c r="J239" s="6" t="s">
        <v>22</v>
      </c>
      <c r="K239" s="6" t="s">
        <v>21</v>
      </c>
      <c r="L239" s="6" t="s">
        <v>21</v>
      </c>
      <c r="M239" s="2" t="str">
        <f t="shared" si="3"/>
        <v/>
      </c>
    </row>
    <row r="240" spans="1:13" x14ac:dyDescent="0.25">
      <c r="A240" s="6" t="s">
        <v>118</v>
      </c>
      <c r="B240" s="6" t="s">
        <v>119</v>
      </c>
      <c r="C240" s="6" t="s">
        <v>120</v>
      </c>
      <c r="D240" s="6" t="s">
        <v>993</v>
      </c>
      <c r="E240" s="6" t="s">
        <v>994</v>
      </c>
      <c r="F240" s="9">
        <v>45693</v>
      </c>
      <c r="G240" s="9">
        <v>45723</v>
      </c>
      <c r="H240" s="12">
        <v>-7</v>
      </c>
      <c r="I240" s="11">
        <v>150</v>
      </c>
      <c r="J240" s="6" t="s">
        <v>22</v>
      </c>
      <c r="K240" s="6" t="s">
        <v>21</v>
      </c>
      <c r="L240" s="6" t="s">
        <v>21</v>
      </c>
      <c r="M240" s="2" t="str">
        <f t="shared" si="3"/>
        <v/>
      </c>
    </row>
    <row r="241" spans="1:13" x14ac:dyDescent="0.25">
      <c r="A241" s="6" t="s">
        <v>118</v>
      </c>
      <c r="B241" s="6" t="s">
        <v>119</v>
      </c>
      <c r="C241" s="6" t="s">
        <v>120</v>
      </c>
      <c r="D241" s="6" t="s">
        <v>995</v>
      </c>
      <c r="E241" s="6" t="s">
        <v>996</v>
      </c>
      <c r="F241" s="9">
        <v>45693</v>
      </c>
      <c r="G241" s="9">
        <v>45738</v>
      </c>
      <c r="H241" s="12">
        <v>-22</v>
      </c>
      <c r="I241" s="11">
        <v>618.41999999999996</v>
      </c>
      <c r="J241" s="6" t="s">
        <v>22</v>
      </c>
      <c r="K241" s="6" t="s">
        <v>21</v>
      </c>
      <c r="L241" s="6" t="s">
        <v>21</v>
      </c>
      <c r="M241" s="2" t="str">
        <f t="shared" si="3"/>
        <v/>
      </c>
    </row>
    <row r="242" spans="1:13" x14ac:dyDescent="0.25">
      <c r="A242" s="6" t="s">
        <v>118</v>
      </c>
      <c r="B242" s="6" t="s">
        <v>119</v>
      </c>
      <c r="C242" s="6" t="s">
        <v>120</v>
      </c>
      <c r="D242" s="6" t="s">
        <v>997</v>
      </c>
      <c r="E242" s="6" t="s">
        <v>998</v>
      </c>
      <c r="F242" s="9">
        <v>45693</v>
      </c>
      <c r="G242" s="9">
        <v>45723</v>
      </c>
      <c r="H242" s="12">
        <v>-7</v>
      </c>
      <c r="I242" s="11">
        <v>78</v>
      </c>
      <c r="J242" s="6" t="s">
        <v>22</v>
      </c>
      <c r="K242" s="6" t="s">
        <v>21</v>
      </c>
      <c r="L242" s="6" t="s">
        <v>21</v>
      </c>
      <c r="M242" s="2" t="str">
        <f t="shared" si="3"/>
        <v/>
      </c>
    </row>
    <row r="243" spans="1:13" x14ac:dyDescent="0.25">
      <c r="A243" s="6" t="s">
        <v>118</v>
      </c>
      <c r="B243" s="6" t="s">
        <v>119</v>
      </c>
      <c r="C243" s="6" t="s">
        <v>120</v>
      </c>
      <c r="D243" s="6" t="s">
        <v>999</v>
      </c>
      <c r="E243" s="6" t="s">
        <v>1000</v>
      </c>
      <c r="F243" s="9">
        <v>45693</v>
      </c>
      <c r="G243" s="9">
        <v>45738</v>
      </c>
      <c r="H243" s="12">
        <v>-22</v>
      </c>
      <c r="I243" s="11">
        <v>148.5</v>
      </c>
      <c r="J243" s="6" t="s">
        <v>22</v>
      </c>
      <c r="K243" s="6" t="s">
        <v>21</v>
      </c>
      <c r="L243" s="6" t="s">
        <v>21</v>
      </c>
      <c r="M243" s="2" t="str">
        <f t="shared" si="3"/>
        <v/>
      </c>
    </row>
    <row r="244" spans="1:13" x14ac:dyDescent="0.25">
      <c r="A244" s="6" t="s">
        <v>118</v>
      </c>
      <c r="B244" s="6" t="s">
        <v>119</v>
      </c>
      <c r="C244" s="6" t="s">
        <v>120</v>
      </c>
      <c r="D244" s="6" t="s">
        <v>1001</v>
      </c>
      <c r="E244" s="6" t="s">
        <v>1002</v>
      </c>
      <c r="F244" s="9">
        <v>45693</v>
      </c>
      <c r="G244" s="9">
        <v>45723</v>
      </c>
      <c r="H244" s="12">
        <v>-7</v>
      </c>
      <c r="I244" s="11">
        <v>75</v>
      </c>
      <c r="J244" s="6" t="s">
        <v>22</v>
      </c>
      <c r="K244" s="6" t="s">
        <v>21</v>
      </c>
      <c r="L244" s="6" t="s">
        <v>21</v>
      </c>
      <c r="M244" s="2" t="str">
        <f t="shared" si="3"/>
        <v/>
      </c>
    </row>
    <row r="245" spans="1:13" x14ac:dyDescent="0.25">
      <c r="A245" s="6" t="s">
        <v>118</v>
      </c>
      <c r="B245" s="6" t="s">
        <v>119</v>
      </c>
      <c r="C245" s="6" t="s">
        <v>120</v>
      </c>
      <c r="D245" s="6" t="s">
        <v>1003</v>
      </c>
      <c r="E245" s="6" t="s">
        <v>1004</v>
      </c>
      <c r="F245" s="9">
        <v>45693</v>
      </c>
      <c r="G245" s="9">
        <v>45723</v>
      </c>
      <c r="H245" s="12">
        <v>-7</v>
      </c>
      <c r="I245" s="11">
        <v>225</v>
      </c>
      <c r="J245" s="6" t="s">
        <v>22</v>
      </c>
      <c r="K245" s="6" t="s">
        <v>21</v>
      </c>
      <c r="L245" s="6" t="s">
        <v>21</v>
      </c>
      <c r="M245" s="2" t="str">
        <f t="shared" si="3"/>
        <v/>
      </c>
    </row>
    <row r="246" spans="1:13" x14ac:dyDescent="0.25">
      <c r="A246" s="6" t="s">
        <v>118</v>
      </c>
      <c r="B246" s="6" t="s">
        <v>119</v>
      </c>
      <c r="C246" s="6" t="s">
        <v>120</v>
      </c>
      <c r="D246" s="6" t="s">
        <v>1005</v>
      </c>
      <c r="E246" s="6" t="s">
        <v>1006</v>
      </c>
      <c r="F246" s="9">
        <v>45693</v>
      </c>
      <c r="G246" s="9">
        <v>45723</v>
      </c>
      <c r="H246" s="12">
        <v>-7</v>
      </c>
      <c r="I246" s="11">
        <v>398.75</v>
      </c>
      <c r="J246" s="6" t="s">
        <v>22</v>
      </c>
      <c r="K246" s="6" t="s">
        <v>21</v>
      </c>
      <c r="L246" s="6" t="s">
        <v>21</v>
      </c>
      <c r="M246" s="2" t="str">
        <f t="shared" si="3"/>
        <v/>
      </c>
    </row>
    <row r="247" spans="1:13" x14ac:dyDescent="0.25">
      <c r="A247" s="6" t="s">
        <v>118</v>
      </c>
      <c r="B247" s="6" t="s">
        <v>119</v>
      </c>
      <c r="C247" s="6" t="s">
        <v>120</v>
      </c>
      <c r="D247" s="6" t="s">
        <v>1007</v>
      </c>
      <c r="E247" s="6" t="s">
        <v>1008</v>
      </c>
      <c r="F247" s="9">
        <v>45693</v>
      </c>
      <c r="G247" s="9">
        <v>45723</v>
      </c>
      <c r="H247" s="12">
        <v>-7</v>
      </c>
      <c r="I247" s="11">
        <v>179.7</v>
      </c>
      <c r="J247" s="6" t="s">
        <v>22</v>
      </c>
      <c r="K247" s="6" t="s">
        <v>21</v>
      </c>
      <c r="L247" s="6" t="s">
        <v>21</v>
      </c>
      <c r="M247" s="2" t="str">
        <f t="shared" si="3"/>
        <v/>
      </c>
    </row>
    <row r="248" spans="1:13" x14ac:dyDescent="0.25">
      <c r="A248" s="6" t="s">
        <v>118</v>
      </c>
      <c r="B248" s="6" t="s">
        <v>119</v>
      </c>
      <c r="C248" s="6" t="s">
        <v>120</v>
      </c>
      <c r="D248" s="6" t="s">
        <v>1009</v>
      </c>
      <c r="E248" s="6" t="s">
        <v>1010</v>
      </c>
      <c r="F248" s="9">
        <v>45693</v>
      </c>
      <c r="G248" s="9">
        <v>45738</v>
      </c>
      <c r="H248" s="12">
        <v>-22</v>
      </c>
      <c r="I248" s="11">
        <v>911.42</v>
      </c>
      <c r="J248" s="6" t="s">
        <v>22</v>
      </c>
      <c r="K248" s="6" t="s">
        <v>21</v>
      </c>
      <c r="L248" s="6" t="s">
        <v>21</v>
      </c>
      <c r="M248" s="2" t="str">
        <f t="shared" si="3"/>
        <v/>
      </c>
    </row>
    <row r="249" spans="1:13" x14ac:dyDescent="0.25">
      <c r="A249" s="6" t="s">
        <v>118</v>
      </c>
      <c r="B249" s="6" t="s">
        <v>119</v>
      </c>
      <c r="C249" s="6" t="s">
        <v>120</v>
      </c>
      <c r="D249" s="6" t="s">
        <v>1011</v>
      </c>
      <c r="E249" s="6" t="s">
        <v>1012</v>
      </c>
      <c r="F249" s="9">
        <v>45693</v>
      </c>
      <c r="G249" s="9">
        <v>45723</v>
      </c>
      <c r="H249" s="12">
        <v>-7</v>
      </c>
      <c r="I249" s="11">
        <v>2815.48</v>
      </c>
      <c r="J249" s="6" t="s">
        <v>22</v>
      </c>
      <c r="K249" s="6" t="s">
        <v>21</v>
      </c>
      <c r="L249" s="6" t="s">
        <v>21</v>
      </c>
      <c r="M249" s="2" t="str">
        <f t="shared" si="3"/>
        <v/>
      </c>
    </row>
    <row r="250" spans="1:13" x14ac:dyDescent="0.25">
      <c r="A250" s="6" t="s">
        <v>118</v>
      </c>
      <c r="B250" s="6" t="s">
        <v>119</v>
      </c>
      <c r="C250" s="6" t="s">
        <v>120</v>
      </c>
      <c r="D250" s="6" t="s">
        <v>1013</v>
      </c>
      <c r="E250" s="6" t="s">
        <v>1014</v>
      </c>
      <c r="F250" s="9">
        <v>45693</v>
      </c>
      <c r="G250" s="9">
        <v>45723</v>
      </c>
      <c r="H250" s="12">
        <v>-7</v>
      </c>
      <c r="I250" s="11">
        <v>29.7</v>
      </c>
      <c r="J250" s="6" t="s">
        <v>22</v>
      </c>
      <c r="K250" s="6" t="s">
        <v>21</v>
      </c>
      <c r="L250" s="6" t="s">
        <v>21</v>
      </c>
      <c r="M250" s="2" t="str">
        <f t="shared" si="3"/>
        <v/>
      </c>
    </row>
    <row r="251" spans="1:13" x14ac:dyDescent="0.25">
      <c r="A251" s="6" t="s">
        <v>118</v>
      </c>
      <c r="B251" s="6" t="s">
        <v>119</v>
      </c>
      <c r="C251" s="6" t="s">
        <v>120</v>
      </c>
      <c r="D251" s="6" t="s">
        <v>1015</v>
      </c>
      <c r="E251" s="6" t="s">
        <v>1016</v>
      </c>
      <c r="F251" s="9">
        <v>45693</v>
      </c>
      <c r="G251" s="9">
        <v>45723</v>
      </c>
      <c r="H251" s="12">
        <v>-7</v>
      </c>
      <c r="I251" s="11">
        <v>468</v>
      </c>
      <c r="J251" s="6" t="s">
        <v>22</v>
      </c>
      <c r="K251" s="6" t="s">
        <v>21</v>
      </c>
      <c r="L251" s="6" t="s">
        <v>21</v>
      </c>
      <c r="M251" s="2" t="str">
        <f t="shared" si="3"/>
        <v/>
      </c>
    </row>
    <row r="252" spans="1:13" x14ac:dyDescent="0.25">
      <c r="A252" s="6" t="s">
        <v>118</v>
      </c>
      <c r="B252" s="6" t="s">
        <v>119</v>
      </c>
      <c r="C252" s="6" t="s">
        <v>120</v>
      </c>
      <c r="D252" s="6" t="s">
        <v>1017</v>
      </c>
      <c r="E252" s="6" t="s">
        <v>1018</v>
      </c>
      <c r="F252" s="9">
        <v>45693</v>
      </c>
      <c r="G252" s="9">
        <v>45723</v>
      </c>
      <c r="H252" s="12">
        <v>-7</v>
      </c>
      <c r="I252" s="11">
        <v>175.13</v>
      </c>
      <c r="J252" s="6" t="s">
        <v>22</v>
      </c>
      <c r="K252" s="6" t="s">
        <v>21</v>
      </c>
      <c r="L252" s="6" t="s">
        <v>21</v>
      </c>
      <c r="M252" s="2" t="str">
        <f t="shared" si="3"/>
        <v/>
      </c>
    </row>
    <row r="253" spans="1:13" x14ac:dyDescent="0.25">
      <c r="A253" s="6" t="s">
        <v>118</v>
      </c>
      <c r="B253" s="6" t="s">
        <v>119</v>
      </c>
      <c r="C253" s="6" t="s">
        <v>120</v>
      </c>
      <c r="D253" s="6" t="s">
        <v>1019</v>
      </c>
      <c r="E253" s="6" t="s">
        <v>1020</v>
      </c>
      <c r="F253" s="9">
        <v>45693</v>
      </c>
      <c r="G253" s="9">
        <v>45723</v>
      </c>
      <c r="H253" s="12">
        <v>-7</v>
      </c>
      <c r="I253" s="11">
        <v>630.88</v>
      </c>
      <c r="J253" s="6" t="s">
        <v>22</v>
      </c>
      <c r="K253" s="6" t="s">
        <v>21</v>
      </c>
      <c r="L253" s="6" t="s">
        <v>21</v>
      </c>
      <c r="M253" s="2" t="str">
        <f t="shared" si="3"/>
        <v/>
      </c>
    </row>
    <row r="254" spans="1:13" x14ac:dyDescent="0.25">
      <c r="A254" s="6" t="s">
        <v>118</v>
      </c>
      <c r="B254" s="6" t="s">
        <v>119</v>
      </c>
      <c r="C254" s="6" t="s">
        <v>120</v>
      </c>
      <c r="D254" s="6" t="s">
        <v>1021</v>
      </c>
      <c r="E254" s="6" t="s">
        <v>1022</v>
      </c>
      <c r="F254" s="9">
        <v>45693</v>
      </c>
      <c r="G254" s="9">
        <v>45738</v>
      </c>
      <c r="H254" s="12">
        <v>-22</v>
      </c>
      <c r="I254" s="11">
        <v>5.26</v>
      </c>
      <c r="J254" s="6" t="s">
        <v>22</v>
      </c>
      <c r="K254" s="6" t="s">
        <v>21</v>
      </c>
      <c r="L254" s="6" t="s">
        <v>21</v>
      </c>
      <c r="M254" s="2" t="str">
        <f t="shared" si="3"/>
        <v/>
      </c>
    </row>
    <row r="255" spans="1:13" x14ac:dyDescent="0.25">
      <c r="A255" s="6" t="s">
        <v>118</v>
      </c>
      <c r="B255" s="6" t="s">
        <v>119</v>
      </c>
      <c r="C255" s="6" t="s">
        <v>120</v>
      </c>
      <c r="D255" s="6" t="s">
        <v>1023</v>
      </c>
      <c r="E255" s="6" t="s">
        <v>1024</v>
      </c>
      <c r="F255" s="9">
        <v>45693</v>
      </c>
      <c r="G255" s="9">
        <v>45723</v>
      </c>
      <c r="H255" s="12">
        <v>-7</v>
      </c>
      <c r="I255" s="11">
        <v>558.77</v>
      </c>
      <c r="J255" s="6" t="s">
        <v>22</v>
      </c>
      <c r="K255" s="6" t="s">
        <v>21</v>
      </c>
      <c r="L255" s="6" t="s">
        <v>21</v>
      </c>
      <c r="M255" s="2" t="str">
        <f t="shared" si="3"/>
        <v/>
      </c>
    </row>
    <row r="256" spans="1:13" x14ac:dyDescent="0.25">
      <c r="A256" s="6" t="s">
        <v>118</v>
      </c>
      <c r="B256" s="6" t="s">
        <v>119</v>
      </c>
      <c r="C256" s="6" t="s">
        <v>120</v>
      </c>
      <c r="D256" s="6" t="s">
        <v>1025</v>
      </c>
      <c r="E256" s="6" t="s">
        <v>1026</v>
      </c>
      <c r="F256" s="9">
        <v>45693</v>
      </c>
      <c r="G256" s="9">
        <v>45723</v>
      </c>
      <c r="H256" s="12">
        <v>-7</v>
      </c>
      <c r="I256" s="11">
        <v>438.18</v>
      </c>
      <c r="J256" s="6" t="s">
        <v>22</v>
      </c>
      <c r="K256" s="6" t="s">
        <v>21</v>
      </c>
      <c r="L256" s="6" t="s">
        <v>21</v>
      </c>
      <c r="M256" s="2" t="str">
        <f t="shared" si="3"/>
        <v/>
      </c>
    </row>
    <row r="257" spans="1:13" x14ac:dyDescent="0.25">
      <c r="A257" s="6" t="s">
        <v>118</v>
      </c>
      <c r="B257" s="6" t="s">
        <v>119</v>
      </c>
      <c r="C257" s="6" t="s">
        <v>120</v>
      </c>
      <c r="D257" s="6" t="s">
        <v>1027</v>
      </c>
      <c r="E257" s="6" t="s">
        <v>1028</v>
      </c>
      <c r="F257" s="9">
        <v>45693</v>
      </c>
      <c r="G257" s="9">
        <v>45723</v>
      </c>
      <c r="H257" s="12">
        <v>-7</v>
      </c>
      <c r="I257" s="11">
        <v>596</v>
      </c>
      <c r="J257" s="6" t="s">
        <v>22</v>
      </c>
      <c r="K257" s="6" t="s">
        <v>21</v>
      </c>
      <c r="L257" s="6" t="s">
        <v>21</v>
      </c>
      <c r="M257" s="2" t="str">
        <f t="shared" si="3"/>
        <v/>
      </c>
    </row>
    <row r="258" spans="1:13" x14ac:dyDescent="0.25">
      <c r="A258" s="6" t="s">
        <v>118</v>
      </c>
      <c r="B258" s="6" t="s">
        <v>119</v>
      </c>
      <c r="C258" s="6" t="s">
        <v>120</v>
      </c>
      <c r="D258" s="6" t="s">
        <v>1029</v>
      </c>
      <c r="E258" s="6" t="s">
        <v>1030</v>
      </c>
      <c r="F258" s="9">
        <v>45693</v>
      </c>
      <c r="G258" s="9">
        <v>45738</v>
      </c>
      <c r="H258" s="12">
        <v>-22</v>
      </c>
      <c r="I258" s="11">
        <v>2011.97</v>
      </c>
      <c r="J258" s="6" t="s">
        <v>22</v>
      </c>
      <c r="K258" s="6" t="s">
        <v>21</v>
      </c>
      <c r="L258" s="6" t="s">
        <v>21</v>
      </c>
      <c r="M258" s="2" t="str">
        <f t="shared" si="3"/>
        <v/>
      </c>
    </row>
    <row r="259" spans="1:13" x14ac:dyDescent="0.25">
      <c r="A259" s="6" t="s">
        <v>118</v>
      </c>
      <c r="B259" s="6" t="s">
        <v>119</v>
      </c>
      <c r="C259" s="6" t="s">
        <v>120</v>
      </c>
      <c r="D259" s="6" t="s">
        <v>1031</v>
      </c>
      <c r="E259" s="6" t="s">
        <v>1032</v>
      </c>
      <c r="F259" s="9">
        <v>45693</v>
      </c>
      <c r="G259" s="9">
        <v>45723</v>
      </c>
      <c r="H259" s="12">
        <v>-7</v>
      </c>
      <c r="I259" s="11">
        <v>307.97000000000003</v>
      </c>
      <c r="J259" s="6" t="s">
        <v>22</v>
      </c>
      <c r="K259" s="6" t="s">
        <v>21</v>
      </c>
      <c r="L259" s="6" t="s">
        <v>21</v>
      </c>
      <c r="M259" s="2" t="str">
        <f t="shared" ref="M259:M322" si="4">IF(H259&gt;0,I259,"")</f>
        <v/>
      </c>
    </row>
    <row r="260" spans="1:13" x14ac:dyDescent="0.25">
      <c r="A260" s="6" t="s">
        <v>118</v>
      </c>
      <c r="B260" s="6" t="s">
        <v>119</v>
      </c>
      <c r="C260" s="6" t="s">
        <v>120</v>
      </c>
      <c r="D260" s="6" t="s">
        <v>1033</v>
      </c>
      <c r="E260" s="6" t="s">
        <v>1034</v>
      </c>
      <c r="F260" s="9">
        <v>45693</v>
      </c>
      <c r="G260" s="9">
        <v>45723</v>
      </c>
      <c r="H260" s="12">
        <v>-7</v>
      </c>
      <c r="I260" s="11">
        <v>2337.91</v>
      </c>
      <c r="J260" s="6" t="s">
        <v>22</v>
      </c>
      <c r="K260" s="6" t="s">
        <v>21</v>
      </c>
      <c r="L260" s="6" t="s">
        <v>21</v>
      </c>
      <c r="M260" s="2" t="str">
        <f t="shared" si="4"/>
        <v/>
      </c>
    </row>
    <row r="261" spans="1:13" x14ac:dyDescent="0.25">
      <c r="A261" s="6" t="s">
        <v>118</v>
      </c>
      <c r="B261" s="6" t="s">
        <v>119</v>
      </c>
      <c r="C261" s="6" t="s">
        <v>120</v>
      </c>
      <c r="D261" s="6" t="s">
        <v>1035</v>
      </c>
      <c r="E261" s="6" t="s">
        <v>1036</v>
      </c>
      <c r="F261" s="9">
        <v>45693</v>
      </c>
      <c r="G261" s="9">
        <v>45738</v>
      </c>
      <c r="H261" s="12">
        <v>-22</v>
      </c>
      <c r="I261" s="11">
        <v>1027.43</v>
      </c>
      <c r="J261" s="6" t="s">
        <v>22</v>
      </c>
      <c r="K261" s="6" t="s">
        <v>21</v>
      </c>
      <c r="L261" s="6" t="s">
        <v>21</v>
      </c>
      <c r="M261" s="2" t="str">
        <f t="shared" si="4"/>
        <v/>
      </c>
    </row>
    <row r="262" spans="1:13" x14ac:dyDescent="0.25">
      <c r="A262" s="6" t="s">
        <v>118</v>
      </c>
      <c r="B262" s="6" t="s">
        <v>119</v>
      </c>
      <c r="C262" s="6" t="s">
        <v>120</v>
      </c>
      <c r="D262" s="6" t="s">
        <v>1037</v>
      </c>
      <c r="E262" s="6" t="s">
        <v>1038</v>
      </c>
      <c r="F262" s="9">
        <v>45693</v>
      </c>
      <c r="G262" s="9">
        <v>45738</v>
      </c>
      <c r="H262" s="12">
        <v>-22</v>
      </c>
      <c r="I262" s="11">
        <v>624.25</v>
      </c>
      <c r="J262" s="6" t="s">
        <v>22</v>
      </c>
      <c r="K262" s="6" t="s">
        <v>21</v>
      </c>
      <c r="L262" s="6" t="s">
        <v>21</v>
      </c>
      <c r="M262" s="2" t="str">
        <f t="shared" si="4"/>
        <v/>
      </c>
    </row>
    <row r="263" spans="1:13" x14ac:dyDescent="0.25">
      <c r="A263" s="6" t="s">
        <v>118</v>
      </c>
      <c r="B263" s="6" t="s">
        <v>119</v>
      </c>
      <c r="C263" s="6" t="s">
        <v>120</v>
      </c>
      <c r="D263" s="6" t="s">
        <v>1039</v>
      </c>
      <c r="E263" s="6" t="s">
        <v>1040</v>
      </c>
      <c r="F263" s="9">
        <v>45693</v>
      </c>
      <c r="G263" s="9">
        <v>45723</v>
      </c>
      <c r="H263" s="12">
        <v>-7</v>
      </c>
      <c r="I263" s="11">
        <v>490.5</v>
      </c>
      <c r="J263" s="6" t="s">
        <v>22</v>
      </c>
      <c r="K263" s="6" t="s">
        <v>21</v>
      </c>
      <c r="L263" s="6" t="s">
        <v>21</v>
      </c>
      <c r="M263" s="2" t="str">
        <f t="shared" si="4"/>
        <v/>
      </c>
    </row>
    <row r="264" spans="1:13" x14ac:dyDescent="0.25">
      <c r="A264" s="6" t="s">
        <v>118</v>
      </c>
      <c r="B264" s="6" t="s">
        <v>119</v>
      </c>
      <c r="C264" s="6" t="s">
        <v>120</v>
      </c>
      <c r="D264" s="6" t="s">
        <v>1041</v>
      </c>
      <c r="E264" s="6" t="s">
        <v>1042</v>
      </c>
      <c r="F264" s="9">
        <v>45693</v>
      </c>
      <c r="G264" s="9">
        <v>45738</v>
      </c>
      <c r="H264" s="12">
        <v>-22</v>
      </c>
      <c r="I264" s="11">
        <v>266.70999999999998</v>
      </c>
      <c r="J264" s="6" t="s">
        <v>22</v>
      </c>
      <c r="K264" s="6" t="s">
        <v>21</v>
      </c>
      <c r="L264" s="6" t="s">
        <v>21</v>
      </c>
      <c r="M264" s="2" t="str">
        <f t="shared" si="4"/>
        <v/>
      </c>
    </row>
    <row r="265" spans="1:13" x14ac:dyDescent="0.25">
      <c r="A265" s="6" t="s">
        <v>118</v>
      </c>
      <c r="B265" s="6" t="s">
        <v>119</v>
      </c>
      <c r="C265" s="6" t="s">
        <v>120</v>
      </c>
      <c r="D265" s="6" t="s">
        <v>1043</v>
      </c>
      <c r="E265" s="6" t="s">
        <v>1044</v>
      </c>
      <c r="F265" s="9">
        <v>45693</v>
      </c>
      <c r="G265" s="9">
        <v>45738</v>
      </c>
      <c r="H265" s="12">
        <v>-22</v>
      </c>
      <c r="I265" s="11">
        <v>920.15</v>
      </c>
      <c r="J265" s="6" t="s">
        <v>22</v>
      </c>
      <c r="K265" s="6" t="s">
        <v>21</v>
      </c>
      <c r="L265" s="6" t="s">
        <v>21</v>
      </c>
      <c r="M265" s="2" t="str">
        <f t="shared" si="4"/>
        <v/>
      </c>
    </row>
    <row r="266" spans="1:13" x14ac:dyDescent="0.25">
      <c r="A266" s="6" t="s">
        <v>118</v>
      </c>
      <c r="B266" s="6" t="s">
        <v>119</v>
      </c>
      <c r="C266" s="6" t="s">
        <v>120</v>
      </c>
      <c r="D266" s="6" t="s">
        <v>1045</v>
      </c>
      <c r="E266" s="6" t="s">
        <v>1046</v>
      </c>
      <c r="F266" s="9">
        <v>45693</v>
      </c>
      <c r="G266" s="9">
        <v>45738</v>
      </c>
      <c r="H266" s="12">
        <v>-22</v>
      </c>
      <c r="I266" s="11">
        <v>201.6</v>
      </c>
      <c r="J266" s="6" t="s">
        <v>22</v>
      </c>
      <c r="K266" s="6" t="s">
        <v>21</v>
      </c>
      <c r="L266" s="6" t="s">
        <v>21</v>
      </c>
      <c r="M266" s="2" t="str">
        <f t="shared" si="4"/>
        <v/>
      </c>
    </row>
    <row r="267" spans="1:13" x14ac:dyDescent="0.25">
      <c r="A267" s="6" t="s">
        <v>118</v>
      </c>
      <c r="B267" s="6" t="s">
        <v>119</v>
      </c>
      <c r="C267" s="6" t="s">
        <v>120</v>
      </c>
      <c r="D267" s="6" t="s">
        <v>1047</v>
      </c>
      <c r="E267" s="6" t="s">
        <v>1048</v>
      </c>
      <c r="F267" s="9">
        <v>45693</v>
      </c>
      <c r="G267" s="9">
        <v>45738</v>
      </c>
      <c r="H267" s="12">
        <v>-22</v>
      </c>
      <c r="I267" s="11">
        <v>115.5</v>
      </c>
      <c r="J267" s="6" t="s">
        <v>22</v>
      </c>
      <c r="K267" s="6" t="s">
        <v>21</v>
      </c>
      <c r="L267" s="6" t="s">
        <v>21</v>
      </c>
      <c r="M267" s="2" t="str">
        <f t="shared" si="4"/>
        <v/>
      </c>
    </row>
    <row r="268" spans="1:13" x14ac:dyDescent="0.25">
      <c r="A268" s="6" t="s">
        <v>118</v>
      </c>
      <c r="B268" s="6" t="s">
        <v>119</v>
      </c>
      <c r="C268" s="6" t="s">
        <v>120</v>
      </c>
      <c r="D268" s="6" t="s">
        <v>1049</v>
      </c>
      <c r="E268" s="6" t="s">
        <v>1050</v>
      </c>
      <c r="F268" s="9">
        <v>45693</v>
      </c>
      <c r="G268" s="9">
        <v>45723</v>
      </c>
      <c r="H268" s="12">
        <v>-7</v>
      </c>
      <c r="I268" s="11">
        <v>290.52999999999997</v>
      </c>
      <c r="J268" s="6" t="s">
        <v>22</v>
      </c>
      <c r="K268" s="6" t="s">
        <v>21</v>
      </c>
      <c r="L268" s="6" t="s">
        <v>21</v>
      </c>
      <c r="M268" s="2" t="str">
        <f t="shared" si="4"/>
        <v/>
      </c>
    </row>
    <row r="269" spans="1:13" x14ac:dyDescent="0.25">
      <c r="A269" s="6" t="s">
        <v>118</v>
      </c>
      <c r="B269" s="6" t="s">
        <v>119</v>
      </c>
      <c r="C269" s="6" t="s">
        <v>120</v>
      </c>
      <c r="D269" s="6" t="s">
        <v>1051</v>
      </c>
      <c r="E269" s="6" t="s">
        <v>1052</v>
      </c>
      <c r="F269" s="9">
        <v>45693</v>
      </c>
      <c r="G269" s="9">
        <v>45723</v>
      </c>
      <c r="H269" s="12">
        <v>-7</v>
      </c>
      <c r="I269" s="11">
        <v>173.7</v>
      </c>
      <c r="J269" s="6" t="s">
        <v>22</v>
      </c>
      <c r="K269" s="6" t="s">
        <v>21</v>
      </c>
      <c r="L269" s="6" t="s">
        <v>21</v>
      </c>
      <c r="M269" s="2" t="str">
        <f t="shared" si="4"/>
        <v/>
      </c>
    </row>
    <row r="270" spans="1:13" x14ac:dyDescent="0.25">
      <c r="A270" s="6" t="s">
        <v>118</v>
      </c>
      <c r="B270" s="6" t="s">
        <v>119</v>
      </c>
      <c r="C270" s="6" t="s">
        <v>120</v>
      </c>
      <c r="D270" s="6" t="s">
        <v>1053</v>
      </c>
      <c r="E270" s="6" t="s">
        <v>1054</v>
      </c>
      <c r="F270" s="9">
        <v>45693</v>
      </c>
      <c r="G270" s="9">
        <v>45723</v>
      </c>
      <c r="H270" s="12">
        <v>-7</v>
      </c>
      <c r="I270" s="11">
        <v>40.5</v>
      </c>
      <c r="J270" s="6" t="s">
        <v>22</v>
      </c>
      <c r="K270" s="6" t="s">
        <v>21</v>
      </c>
      <c r="L270" s="6" t="s">
        <v>21</v>
      </c>
      <c r="M270" s="2" t="str">
        <f t="shared" si="4"/>
        <v/>
      </c>
    </row>
    <row r="271" spans="1:13" x14ac:dyDescent="0.25">
      <c r="A271" s="6" t="s">
        <v>118</v>
      </c>
      <c r="B271" s="6" t="s">
        <v>119</v>
      </c>
      <c r="C271" s="6" t="s">
        <v>120</v>
      </c>
      <c r="D271" s="6" t="s">
        <v>1055</v>
      </c>
      <c r="E271" s="6" t="s">
        <v>1056</v>
      </c>
      <c r="F271" s="9">
        <v>45693</v>
      </c>
      <c r="G271" s="9">
        <v>45723</v>
      </c>
      <c r="H271" s="12">
        <v>-7</v>
      </c>
      <c r="I271" s="11">
        <v>79.5</v>
      </c>
      <c r="J271" s="6" t="s">
        <v>22</v>
      </c>
      <c r="K271" s="6" t="s">
        <v>21</v>
      </c>
      <c r="L271" s="6" t="s">
        <v>21</v>
      </c>
      <c r="M271" s="2" t="str">
        <f t="shared" si="4"/>
        <v/>
      </c>
    </row>
    <row r="272" spans="1:13" x14ac:dyDescent="0.25">
      <c r="A272" s="6" t="s">
        <v>118</v>
      </c>
      <c r="B272" s="6" t="s">
        <v>119</v>
      </c>
      <c r="C272" s="6" t="s">
        <v>120</v>
      </c>
      <c r="D272" s="6" t="s">
        <v>1057</v>
      </c>
      <c r="E272" s="6" t="s">
        <v>1058</v>
      </c>
      <c r="F272" s="9">
        <v>45693</v>
      </c>
      <c r="G272" s="9">
        <v>45723</v>
      </c>
      <c r="H272" s="12">
        <v>-7</v>
      </c>
      <c r="I272" s="11">
        <v>119.58</v>
      </c>
      <c r="J272" s="6" t="s">
        <v>22</v>
      </c>
      <c r="K272" s="6" t="s">
        <v>21</v>
      </c>
      <c r="L272" s="6" t="s">
        <v>21</v>
      </c>
      <c r="M272" s="2" t="str">
        <f t="shared" si="4"/>
        <v/>
      </c>
    </row>
    <row r="273" spans="1:13" x14ac:dyDescent="0.25">
      <c r="A273" s="6" t="s">
        <v>118</v>
      </c>
      <c r="B273" s="6" t="s">
        <v>119</v>
      </c>
      <c r="C273" s="6" t="s">
        <v>120</v>
      </c>
      <c r="D273" s="6" t="s">
        <v>1059</v>
      </c>
      <c r="E273" s="6" t="s">
        <v>1060</v>
      </c>
      <c r="F273" s="9">
        <v>45693</v>
      </c>
      <c r="G273" s="9">
        <v>45723</v>
      </c>
      <c r="H273" s="12">
        <v>-7</v>
      </c>
      <c r="I273" s="11">
        <v>200.92</v>
      </c>
      <c r="J273" s="6" t="s">
        <v>22</v>
      </c>
      <c r="K273" s="6" t="s">
        <v>21</v>
      </c>
      <c r="L273" s="6" t="s">
        <v>21</v>
      </c>
      <c r="M273" s="2" t="str">
        <f t="shared" si="4"/>
        <v/>
      </c>
    </row>
    <row r="274" spans="1:13" x14ac:dyDescent="0.25">
      <c r="A274" s="6" t="s">
        <v>118</v>
      </c>
      <c r="B274" s="6" t="s">
        <v>119</v>
      </c>
      <c r="C274" s="6" t="s">
        <v>120</v>
      </c>
      <c r="D274" s="6" t="s">
        <v>1061</v>
      </c>
      <c r="E274" s="6" t="s">
        <v>1062</v>
      </c>
      <c r="F274" s="9">
        <v>45693</v>
      </c>
      <c r="G274" s="9">
        <v>45723</v>
      </c>
      <c r="H274" s="12">
        <v>-7</v>
      </c>
      <c r="I274" s="11">
        <v>302.10000000000002</v>
      </c>
      <c r="J274" s="6" t="s">
        <v>22</v>
      </c>
      <c r="K274" s="6" t="s">
        <v>21</v>
      </c>
      <c r="L274" s="6" t="s">
        <v>21</v>
      </c>
      <c r="M274" s="2" t="str">
        <f t="shared" si="4"/>
        <v/>
      </c>
    </row>
    <row r="275" spans="1:13" x14ac:dyDescent="0.25">
      <c r="A275" s="6" t="s">
        <v>118</v>
      </c>
      <c r="B275" s="6" t="s">
        <v>119</v>
      </c>
      <c r="C275" s="6" t="s">
        <v>120</v>
      </c>
      <c r="D275" s="6" t="s">
        <v>1063</v>
      </c>
      <c r="E275" s="6" t="s">
        <v>1064</v>
      </c>
      <c r="F275" s="9">
        <v>45693</v>
      </c>
      <c r="G275" s="9">
        <v>45723</v>
      </c>
      <c r="H275" s="12">
        <v>-7</v>
      </c>
      <c r="I275" s="11">
        <v>179.26</v>
      </c>
      <c r="J275" s="6" t="s">
        <v>22</v>
      </c>
      <c r="K275" s="6" t="s">
        <v>21</v>
      </c>
      <c r="L275" s="6" t="s">
        <v>21</v>
      </c>
      <c r="M275" s="2" t="str">
        <f t="shared" si="4"/>
        <v/>
      </c>
    </row>
    <row r="276" spans="1:13" x14ac:dyDescent="0.25">
      <c r="A276" s="6" t="s">
        <v>118</v>
      </c>
      <c r="B276" s="6" t="s">
        <v>119</v>
      </c>
      <c r="C276" s="6" t="s">
        <v>120</v>
      </c>
      <c r="D276" s="6" t="s">
        <v>1065</v>
      </c>
      <c r="E276" s="6" t="s">
        <v>1066</v>
      </c>
      <c r="F276" s="9">
        <v>45693</v>
      </c>
      <c r="G276" s="9">
        <v>45723</v>
      </c>
      <c r="H276" s="12">
        <v>-7</v>
      </c>
      <c r="I276" s="11">
        <v>201</v>
      </c>
      <c r="J276" s="6" t="s">
        <v>22</v>
      </c>
      <c r="K276" s="6" t="s">
        <v>21</v>
      </c>
      <c r="L276" s="6" t="s">
        <v>21</v>
      </c>
      <c r="M276" s="2" t="str">
        <f t="shared" si="4"/>
        <v/>
      </c>
    </row>
    <row r="277" spans="1:13" x14ac:dyDescent="0.25">
      <c r="A277" s="6" t="s">
        <v>118</v>
      </c>
      <c r="B277" s="6" t="s">
        <v>119</v>
      </c>
      <c r="C277" s="6" t="s">
        <v>120</v>
      </c>
      <c r="D277" s="6" t="s">
        <v>1067</v>
      </c>
      <c r="E277" s="6" t="s">
        <v>1068</v>
      </c>
      <c r="F277" s="9">
        <v>45693</v>
      </c>
      <c r="G277" s="9">
        <v>45738</v>
      </c>
      <c r="H277" s="12">
        <v>-22</v>
      </c>
      <c r="I277" s="11">
        <v>120</v>
      </c>
      <c r="J277" s="6" t="s">
        <v>22</v>
      </c>
      <c r="K277" s="6" t="s">
        <v>21</v>
      </c>
      <c r="L277" s="6" t="s">
        <v>21</v>
      </c>
      <c r="M277" s="2" t="str">
        <f t="shared" si="4"/>
        <v/>
      </c>
    </row>
    <row r="278" spans="1:13" x14ac:dyDescent="0.25">
      <c r="A278" s="6" t="s">
        <v>118</v>
      </c>
      <c r="B278" s="6" t="s">
        <v>119</v>
      </c>
      <c r="C278" s="6" t="s">
        <v>120</v>
      </c>
      <c r="D278" s="6" t="s">
        <v>1069</v>
      </c>
      <c r="E278" s="6" t="s">
        <v>1070</v>
      </c>
      <c r="F278" s="9">
        <v>45693</v>
      </c>
      <c r="G278" s="9">
        <v>45738</v>
      </c>
      <c r="H278" s="12">
        <v>-22</v>
      </c>
      <c r="I278" s="11">
        <v>349.5</v>
      </c>
      <c r="J278" s="6" t="s">
        <v>22</v>
      </c>
      <c r="K278" s="6" t="s">
        <v>21</v>
      </c>
      <c r="L278" s="6" t="s">
        <v>21</v>
      </c>
      <c r="M278" s="2" t="str">
        <f t="shared" si="4"/>
        <v/>
      </c>
    </row>
    <row r="279" spans="1:13" x14ac:dyDescent="0.25">
      <c r="A279" s="6" t="s">
        <v>118</v>
      </c>
      <c r="B279" s="6" t="s">
        <v>119</v>
      </c>
      <c r="C279" s="6" t="s">
        <v>120</v>
      </c>
      <c r="D279" s="6" t="s">
        <v>1071</v>
      </c>
      <c r="E279" s="6" t="s">
        <v>1072</v>
      </c>
      <c r="F279" s="9">
        <v>45693</v>
      </c>
      <c r="G279" s="9">
        <v>45738</v>
      </c>
      <c r="H279" s="12">
        <v>-22</v>
      </c>
      <c r="I279" s="11">
        <v>256.33999999999997</v>
      </c>
      <c r="J279" s="6" t="s">
        <v>22</v>
      </c>
      <c r="K279" s="6" t="s">
        <v>21</v>
      </c>
      <c r="L279" s="6" t="s">
        <v>21</v>
      </c>
      <c r="M279" s="2" t="str">
        <f t="shared" si="4"/>
        <v/>
      </c>
    </row>
    <row r="280" spans="1:13" x14ac:dyDescent="0.25">
      <c r="A280" s="6" t="s">
        <v>118</v>
      </c>
      <c r="B280" s="6" t="s">
        <v>119</v>
      </c>
      <c r="C280" s="6" t="s">
        <v>120</v>
      </c>
      <c r="D280" s="6" t="s">
        <v>1073</v>
      </c>
      <c r="E280" s="6" t="s">
        <v>1074</v>
      </c>
      <c r="F280" s="9">
        <v>45693</v>
      </c>
      <c r="G280" s="9">
        <v>45738</v>
      </c>
      <c r="H280" s="12">
        <v>-22</v>
      </c>
      <c r="I280" s="11">
        <v>320.58</v>
      </c>
      <c r="J280" s="6" t="s">
        <v>22</v>
      </c>
      <c r="K280" s="6" t="s">
        <v>21</v>
      </c>
      <c r="L280" s="6" t="s">
        <v>21</v>
      </c>
      <c r="M280" s="2" t="str">
        <f t="shared" si="4"/>
        <v/>
      </c>
    </row>
    <row r="281" spans="1:13" x14ac:dyDescent="0.25">
      <c r="A281" s="6" t="s">
        <v>118</v>
      </c>
      <c r="B281" s="6" t="s">
        <v>119</v>
      </c>
      <c r="C281" s="6" t="s">
        <v>120</v>
      </c>
      <c r="D281" s="6" t="s">
        <v>1075</v>
      </c>
      <c r="E281" s="6" t="s">
        <v>1076</v>
      </c>
      <c r="F281" s="9">
        <v>45693</v>
      </c>
      <c r="G281" s="9">
        <v>45738</v>
      </c>
      <c r="H281" s="12">
        <v>-22</v>
      </c>
      <c r="I281" s="11">
        <v>240.11</v>
      </c>
      <c r="J281" s="6" t="s">
        <v>22</v>
      </c>
      <c r="K281" s="6" t="s">
        <v>21</v>
      </c>
      <c r="L281" s="6" t="s">
        <v>21</v>
      </c>
      <c r="M281" s="2" t="str">
        <f t="shared" si="4"/>
        <v/>
      </c>
    </row>
    <row r="282" spans="1:13" x14ac:dyDescent="0.25">
      <c r="A282" s="6" t="s">
        <v>118</v>
      </c>
      <c r="B282" s="6" t="s">
        <v>119</v>
      </c>
      <c r="C282" s="6" t="s">
        <v>120</v>
      </c>
      <c r="D282" s="6" t="s">
        <v>1077</v>
      </c>
      <c r="E282" s="6" t="s">
        <v>1078</v>
      </c>
      <c r="F282" s="9">
        <v>45693</v>
      </c>
      <c r="G282" s="9">
        <v>45723</v>
      </c>
      <c r="H282" s="12">
        <v>-7</v>
      </c>
      <c r="I282" s="11">
        <v>642.01</v>
      </c>
      <c r="J282" s="6" t="s">
        <v>22</v>
      </c>
      <c r="K282" s="6" t="s">
        <v>21</v>
      </c>
      <c r="L282" s="6" t="s">
        <v>21</v>
      </c>
      <c r="M282" s="2" t="str">
        <f t="shared" si="4"/>
        <v/>
      </c>
    </row>
    <row r="283" spans="1:13" x14ac:dyDescent="0.25">
      <c r="A283" s="6" t="s">
        <v>118</v>
      </c>
      <c r="B283" s="6" t="s">
        <v>119</v>
      </c>
      <c r="C283" s="6" t="s">
        <v>120</v>
      </c>
      <c r="D283" s="6" t="s">
        <v>1079</v>
      </c>
      <c r="E283" s="6" t="s">
        <v>1080</v>
      </c>
      <c r="F283" s="9">
        <v>45693</v>
      </c>
      <c r="G283" s="9">
        <v>45723</v>
      </c>
      <c r="H283" s="12">
        <v>-7</v>
      </c>
      <c r="I283" s="11">
        <v>1336.85</v>
      </c>
      <c r="J283" s="6" t="s">
        <v>22</v>
      </c>
      <c r="K283" s="6" t="s">
        <v>21</v>
      </c>
      <c r="L283" s="6" t="s">
        <v>21</v>
      </c>
      <c r="M283" s="2" t="str">
        <f t="shared" si="4"/>
        <v/>
      </c>
    </row>
    <row r="284" spans="1:13" x14ac:dyDescent="0.25">
      <c r="A284" s="6" t="s">
        <v>118</v>
      </c>
      <c r="B284" s="6" t="s">
        <v>119</v>
      </c>
      <c r="C284" s="6" t="s">
        <v>120</v>
      </c>
      <c r="D284" s="6" t="s">
        <v>1081</v>
      </c>
      <c r="E284" s="6" t="s">
        <v>1082</v>
      </c>
      <c r="F284" s="9">
        <v>45693</v>
      </c>
      <c r="G284" s="9">
        <v>45723</v>
      </c>
      <c r="H284" s="12">
        <v>-7</v>
      </c>
      <c r="I284" s="11">
        <v>177.98</v>
      </c>
      <c r="J284" s="6" t="s">
        <v>22</v>
      </c>
      <c r="K284" s="6" t="s">
        <v>21</v>
      </c>
      <c r="L284" s="6" t="s">
        <v>21</v>
      </c>
      <c r="M284" s="2" t="str">
        <f t="shared" si="4"/>
        <v/>
      </c>
    </row>
    <row r="285" spans="1:13" x14ac:dyDescent="0.25">
      <c r="A285" s="6" t="s">
        <v>118</v>
      </c>
      <c r="B285" s="6" t="s">
        <v>119</v>
      </c>
      <c r="C285" s="6" t="s">
        <v>120</v>
      </c>
      <c r="D285" s="6" t="s">
        <v>1083</v>
      </c>
      <c r="E285" s="6" t="s">
        <v>1084</v>
      </c>
      <c r="F285" s="9">
        <v>45693</v>
      </c>
      <c r="G285" s="9">
        <v>45738</v>
      </c>
      <c r="H285" s="12">
        <v>-22</v>
      </c>
      <c r="I285" s="11">
        <v>94.03</v>
      </c>
      <c r="J285" s="6" t="s">
        <v>22</v>
      </c>
      <c r="K285" s="6" t="s">
        <v>21</v>
      </c>
      <c r="L285" s="6" t="s">
        <v>21</v>
      </c>
      <c r="M285" s="2" t="str">
        <f t="shared" si="4"/>
        <v/>
      </c>
    </row>
    <row r="286" spans="1:13" x14ac:dyDescent="0.25">
      <c r="A286" s="6" t="s">
        <v>118</v>
      </c>
      <c r="B286" s="6" t="s">
        <v>119</v>
      </c>
      <c r="C286" s="6" t="s">
        <v>120</v>
      </c>
      <c r="D286" s="6" t="s">
        <v>1085</v>
      </c>
      <c r="E286" s="6" t="s">
        <v>1086</v>
      </c>
      <c r="F286" s="9">
        <v>45693</v>
      </c>
      <c r="G286" s="9">
        <v>45738</v>
      </c>
      <c r="H286" s="12">
        <v>-22</v>
      </c>
      <c r="I286" s="11">
        <v>476.75</v>
      </c>
      <c r="J286" s="6" t="s">
        <v>22</v>
      </c>
      <c r="K286" s="6" t="s">
        <v>21</v>
      </c>
      <c r="L286" s="6" t="s">
        <v>21</v>
      </c>
      <c r="M286" s="2" t="str">
        <f t="shared" si="4"/>
        <v/>
      </c>
    </row>
    <row r="287" spans="1:13" x14ac:dyDescent="0.25">
      <c r="A287" s="6" t="s">
        <v>118</v>
      </c>
      <c r="B287" s="6" t="s">
        <v>119</v>
      </c>
      <c r="C287" s="6" t="s">
        <v>120</v>
      </c>
      <c r="D287" s="6" t="s">
        <v>1087</v>
      </c>
      <c r="E287" s="6" t="s">
        <v>1088</v>
      </c>
      <c r="F287" s="9">
        <v>45693</v>
      </c>
      <c r="G287" s="9">
        <v>45738</v>
      </c>
      <c r="H287" s="12">
        <v>-22</v>
      </c>
      <c r="I287" s="11">
        <v>524.71</v>
      </c>
      <c r="J287" s="6" t="s">
        <v>22</v>
      </c>
      <c r="K287" s="6" t="s">
        <v>21</v>
      </c>
      <c r="L287" s="6" t="s">
        <v>21</v>
      </c>
      <c r="M287" s="2" t="str">
        <f t="shared" si="4"/>
        <v/>
      </c>
    </row>
    <row r="288" spans="1:13" x14ac:dyDescent="0.25">
      <c r="A288" s="6" t="s">
        <v>118</v>
      </c>
      <c r="B288" s="6" t="s">
        <v>119</v>
      </c>
      <c r="C288" s="6" t="s">
        <v>120</v>
      </c>
      <c r="D288" s="6" t="s">
        <v>1089</v>
      </c>
      <c r="E288" s="6" t="s">
        <v>1090</v>
      </c>
      <c r="F288" s="9">
        <v>45693</v>
      </c>
      <c r="G288" s="9">
        <v>45738</v>
      </c>
      <c r="H288" s="12">
        <v>-22</v>
      </c>
      <c r="I288" s="11">
        <v>335.82</v>
      </c>
      <c r="J288" s="6" t="s">
        <v>22</v>
      </c>
      <c r="K288" s="6" t="s">
        <v>21</v>
      </c>
      <c r="L288" s="6" t="s">
        <v>21</v>
      </c>
      <c r="M288" s="2" t="str">
        <f t="shared" si="4"/>
        <v/>
      </c>
    </row>
    <row r="289" spans="1:13" x14ac:dyDescent="0.25">
      <c r="A289" s="6" t="s">
        <v>118</v>
      </c>
      <c r="B289" s="6" t="s">
        <v>119</v>
      </c>
      <c r="C289" s="6" t="s">
        <v>120</v>
      </c>
      <c r="D289" s="6" t="s">
        <v>1091</v>
      </c>
      <c r="E289" s="6" t="s">
        <v>1092</v>
      </c>
      <c r="F289" s="9">
        <v>45693</v>
      </c>
      <c r="G289" s="9">
        <v>45723</v>
      </c>
      <c r="H289" s="12">
        <v>-7</v>
      </c>
      <c r="I289" s="11">
        <v>38.28</v>
      </c>
      <c r="J289" s="6" t="s">
        <v>22</v>
      </c>
      <c r="K289" s="6" t="s">
        <v>21</v>
      </c>
      <c r="L289" s="6" t="s">
        <v>21</v>
      </c>
      <c r="M289" s="2" t="str">
        <f t="shared" si="4"/>
        <v/>
      </c>
    </row>
    <row r="290" spans="1:13" x14ac:dyDescent="0.25">
      <c r="A290" s="6" t="s">
        <v>118</v>
      </c>
      <c r="B290" s="6" t="s">
        <v>119</v>
      </c>
      <c r="C290" s="6" t="s">
        <v>120</v>
      </c>
      <c r="D290" s="6" t="s">
        <v>1093</v>
      </c>
      <c r="E290" s="6" t="s">
        <v>1094</v>
      </c>
      <c r="F290" s="9">
        <v>45693</v>
      </c>
      <c r="G290" s="9">
        <v>45738</v>
      </c>
      <c r="H290" s="12">
        <v>-22</v>
      </c>
      <c r="I290" s="11">
        <v>90.67</v>
      </c>
      <c r="J290" s="6" t="s">
        <v>22</v>
      </c>
      <c r="K290" s="6" t="s">
        <v>21</v>
      </c>
      <c r="L290" s="6" t="s">
        <v>21</v>
      </c>
      <c r="M290" s="2" t="str">
        <f t="shared" si="4"/>
        <v/>
      </c>
    </row>
    <row r="291" spans="1:13" x14ac:dyDescent="0.25">
      <c r="A291" s="6" t="s">
        <v>118</v>
      </c>
      <c r="B291" s="6" t="s">
        <v>119</v>
      </c>
      <c r="C291" s="6" t="s">
        <v>120</v>
      </c>
      <c r="D291" s="6" t="s">
        <v>1095</v>
      </c>
      <c r="E291" s="6" t="s">
        <v>1096</v>
      </c>
      <c r="F291" s="9">
        <v>45693</v>
      </c>
      <c r="G291" s="9">
        <v>45723</v>
      </c>
      <c r="H291" s="12">
        <v>-7</v>
      </c>
      <c r="I291" s="11">
        <v>38.28</v>
      </c>
      <c r="J291" s="6" t="s">
        <v>22</v>
      </c>
      <c r="K291" s="6" t="s">
        <v>21</v>
      </c>
      <c r="L291" s="6" t="s">
        <v>21</v>
      </c>
      <c r="M291" s="2" t="str">
        <f t="shared" si="4"/>
        <v/>
      </c>
    </row>
    <row r="292" spans="1:13" x14ac:dyDescent="0.25">
      <c r="A292" s="6" t="s">
        <v>118</v>
      </c>
      <c r="B292" s="6" t="s">
        <v>119</v>
      </c>
      <c r="C292" s="6" t="s">
        <v>120</v>
      </c>
      <c r="D292" s="6" t="s">
        <v>1097</v>
      </c>
      <c r="E292" s="6" t="s">
        <v>1098</v>
      </c>
      <c r="F292" s="9">
        <v>45693</v>
      </c>
      <c r="G292" s="9">
        <v>45723</v>
      </c>
      <c r="H292" s="12">
        <v>-7</v>
      </c>
      <c r="I292" s="11">
        <v>453.72</v>
      </c>
      <c r="J292" s="6" t="s">
        <v>22</v>
      </c>
      <c r="K292" s="6" t="s">
        <v>21</v>
      </c>
      <c r="L292" s="6" t="s">
        <v>21</v>
      </c>
      <c r="M292" s="2" t="str">
        <f t="shared" si="4"/>
        <v/>
      </c>
    </row>
    <row r="293" spans="1:13" x14ac:dyDescent="0.25">
      <c r="A293" s="6" t="s">
        <v>118</v>
      </c>
      <c r="B293" s="6" t="s">
        <v>119</v>
      </c>
      <c r="C293" s="6" t="s">
        <v>120</v>
      </c>
      <c r="D293" s="6" t="s">
        <v>1099</v>
      </c>
      <c r="E293" s="6" t="s">
        <v>1100</v>
      </c>
      <c r="F293" s="9">
        <v>45693</v>
      </c>
      <c r="G293" s="9">
        <v>45723</v>
      </c>
      <c r="H293" s="12">
        <v>-7</v>
      </c>
      <c r="I293" s="11">
        <v>489.8</v>
      </c>
      <c r="J293" s="6" t="s">
        <v>22</v>
      </c>
      <c r="K293" s="6" t="s">
        <v>21</v>
      </c>
      <c r="L293" s="6" t="s">
        <v>21</v>
      </c>
      <c r="M293" s="2" t="str">
        <f t="shared" si="4"/>
        <v/>
      </c>
    </row>
    <row r="294" spans="1:13" x14ac:dyDescent="0.25">
      <c r="A294" s="6" t="s">
        <v>118</v>
      </c>
      <c r="B294" s="6" t="s">
        <v>119</v>
      </c>
      <c r="C294" s="6" t="s">
        <v>120</v>
      </c>
      <c r="D294" s="6" t="s">
        <v>1101</v>
      </c>
      <c r="E294" s="6" t="s">
        <v>1102</v>
      </c>
      <c r="F294" s="9">
        <v>45693</v>
      </c>
      <c r="G294" s="9">
        <v>45723</v>
      </c>
      <c r="H294" s="12">
        <v>-7</v>
      </c>
      <c r="I294" s="11">
        <v>228.36</v>
      </c>
      <c r="J294" s="6" t="s">
        <v>22</v>
      </c>
      <c r="K294" s="6" t="s">
        <v>21</v>
      </c>
      <c r="L294" s="6" t="s">
        <v>21</v>
      </c>
      <c r="M294" s="2" t="str">
        <f t="shared" si="4"/>
        <v/>
      </c>
    </row>
    <row r="295" spans="1:13" x14ac:dyDescent="0.25">
      <c r="A295" s="6" t="s">
        <v>118</v>
      </c>
      <c r="B295" s="6" t="s">
        <v>119</v>
      </c>
      <c r="C295" s="6" t="s">
        <v>120</v>
      </c>
      <c r="D295" s="6" t="s">
        <v>1103</v>
      </c>
      <c r="E295" s="6" t="s">
        <v>1104</v>
      </c>
      <c r="F295" s="9">
        <v>45693</v>
      </c>
      <c r="G295" s="9">
        <v>45738</v>
      </c>
      <c r="H295" s="12">
        <v>-22</v>
      </c>
      <c r="I295" s="11">
        <v>90.67</v>
      </c>
      <c r="J295" s="6" t="s">
        <v>22</v>
      </c>
      <c r="K295" s="6" t="s">
        <v>21</v>
      </c>
      <c r="L295" s="6" t="s">
        <v>21</v>
      </c>
      <c r="M295" s="2" t="str">
        <f t="shared" si="4"/>
        <v/>
      </c>
    </row>
    <row r="296" spans="1:13" x14ac:dyDescent="0.25">
      <c r="A296" s="6" t="s">
        <v>118</v>
      </c>
      <c r="B296" s="6" t="s">
        <v>119</v>
      </c>
      <c r="C296" s="6" t="s">
        <v>120</v>
      </c>
      <c r="D296" s="6" t="s">
        <v>1105</v>
      </c>
      <c r="E296" s="6" t="s">
        <v>1106</v>
      </c>
      <c r="F296" s="9">
        <v>45693</v>
      </c>
      <c r="G296" s="9">
        <v>45738</v>
      </c>
      <c r="H296" s="12">
        <v>-22</v>
      </c>
      <c r="I296" s="11">
        <v>349.25</v>
      </c>
      <c r="J296" s="6" t="s">
        <v>22</v>
      </c>
      <c r="K296" s="6" t="s">
        <v>21</v>
      </c>
      <c r="L296" s="6" t="s">
        <v>21</v>
      </c>
      <c r="M296" s="2" t="str">
        <f t="shared" si="4"/>
        <v/>
      </c>
    </row>
    <row r="297" spans="1:13" x14ac:dyDescent="0.25">
      <c r="A297" s="6" t="s">
        <v>118</v>
      </c>
      <c r="B297" s="6" t="s">
        <v>119</v>
      </c>
      <c r="C297" s="6" t="s">
        <v>120</v>
      </c>
      <c r="D297" s="6" t="s">
        <v>1107</v>
      </c>
      <c r="E297" s="6" t="s">
        <v>1108</v>
      </c>
      <c r="F297" s="9">
        <v>45693</v>
      </c>
      <c r="G297" s="9">
        <v>45738</v>
      </c>
      <c r="H297" s="12">
        <v>-22</v>
      </c>
      <c r="I297" s="11">
        <v>47.02</v>
      </c>
      <c r="J297" s="6" t="s">
        <v>22</v>
      </c>
      <c r="K297" s="6" t="s">
        <v>21</v>
      </c>
      <c r="L297" s="6" t="s">
        <v>21</v>
      </c>
      <c r="M297" s="2" t="str">
        <f t="shared" si="4"/>
        <v/>
      </c>
    </row>
    <row r="298" spans="1:13" x14ac:dyDescent="0.25">
      <c r="A298" s="6" t="s">
        <v>118</v>
      </c>
      <c r="B298" s="6" t="s">
        <v>119</v>
      </c>
      <c r="C298" s="6" t="s">
        <v>120</v>
      </c>
      <c r="D298" s="6" t="s">
        <v>1109</v>
      </c>
      <c r="E298" s="6" t="s">
        <v>1110</v>
      </c>
      <c r="F298" s="9">
        <v>45693</v>
      </c>
      <c r="G298" s="9">
        <v>45738</v>
      </c>
      <c r="H298" s="12">
        <v>-22</v>
      </c>
      <c r="I298" s="11">
        <v>54.07</v>
      </c>
      <c r="J298" s="6" t="s">
        <v>22</v>
      </c>
      <c r="K298" s="6" t="s">
        <v>21</v>
      </c>
      <c r="L298" s="6" t="s">
        <v>21</v>
      </c>
      <c r="M298" s="2" t="str">
        <f t="shared" si="4"/>
        <v/>
      </c>
    </row>
    <row r="299" spans="1:13" x14ac:dyDescent="0.25">
      <c r="A299" s="6" t="s">
        <v>118</v>
      </c>
      <c r="B299" s="6" t="s">
        <v>119</v>
      </c>
      <c r="C299" s="6" t="s">
        <v>120</v>
      </c>
      <c r="D299" s="6" t="s">
        <v>1111</v>
      </c>
      <c r="E299" s="6" t="s">
        <v>1112</v>
      </c>
      <c r="F299" s="9">
        <v>45693</v>
      </c>
      <c r="G299" s="9">
        <v>45738</v>
      </c>
      <c r="H299" s="12">
        <v>-22</v>
      </c>
      <c r="I299" s="11">
        <v>90.67</v>
      </c>
      <c r="J299" s="6" t="s">
        <v>22</v>
      </c>
      <c r="K299" s="6" t="s">
        <v>21</v>
      </c>
      <c r="L299" s="6" t="s">
        <v>21</v>
      </c>
      <c r="M299" s="2" t="str">
        <f t="shared" si="4"/>
        <v/>
      </c>
    </row>
    <row r="300" spans="1:13" x14ac:dyDescent="0.25">
      <c r="A300" s="6" t="s">
        <v>118</v>
      </c>
      <c r="B300" s="6" t="s">
        <v>119</v>
      </c>
      <c r="C300" s="6" t="s">
        <v>120</v>
      </c>
      <c r="D300" s="6" t="s">
        <v>1113</v>
      </c>
      <c r="E300" s="6" t="s">
        <v>1114</v>
      </c>
      <c r="F300" s="9">
        <v>45693</v>
      </c>
      <c r="G300" s="9">
        <v>45738</v>
      </c>
      <c r="H300" s="12">
        <v>-22</v>
      </c>
      <c r="I300" s="11">
        <v>90.67</v>
      </c>
      <c r="J300" s="6" t="s">
        <v>22</v>
      </c>
      <c r="K300" s="6" t="s">
        <v>21</v>
      </c>
      <c r="L300" s="6" t="s">
        <v>21</v>
      </c>
      <c r="M300" s="2" t="str">
        <f t="shared" si="4"/>
        <v/>
      </c>
    </row>
    <row r="301" spans="1:13" x14ac:dyDescent="0.25">
      <c r="A301" s="6" t="s">
        <v>118</v>
      </c>
      <c r="B301" s="6" t="s">
        <v>119</v>
      </c>
      <c r="C301" s="6" t="s">
        <v>120</v>
      </c>
      <c r="D301" s="6" t="s">
        <v>1115</v>
      </c>
      <c r="E301" s="6" t="s">
        <v>1116</v>
      </c>
      <c r="F301" s="9">
        <v>45693</v>
      </c>
      <c r="G301" s="9">
        <v>45738</v>
      </c>
      <c r="H301" s="12">
        <v>-22</v>
      </c>
      <c r="I301" s="11">
        <v>136.01</v>
      </c>
      <c r="J301" s="6" t="s">
        <v>22</v>
      </c>
      <c r="K301" s="6" t="s">
        <v>21</v>
      </c>
      <c r="L301" s="6" t="s">
        <v>21</v>
      </c>
      <c r="M301" s="2" t="str">
        <f t="shared" si="4"/>
        <v/>
      </c>
    </row>
    <row r="302" spans="1:13" x14ac:dyDescent="0.25">
      <c r="A302" s="6" t="s">
        <v>118</v>
      </c>
      <c r="B302" s="6" t="s">
        <v>119</v>
      </c>
      <c r="C302" s="6" t="s">
        <v>120</v>
      </c>
      <c r="D302" s="6" t="s">
        <v>1117</v>
      </c>
      <c r="E302" s="6" t="s">
        <v>1118</v>
      </c>
      <c r="F302" s="9">
        <v>45693</v>
      </c>
      <c r="G302" s="9">
        <v>45738</v>
      </c>
      <c r="H302" s="12">
        <v>-22</v>
      </c>
      <c r="I302" s="11">
        <v>453.01</v>
      </c>
      <c r="J302" s="6" t="s">
        <v>22</v>
      </c>
      <c r="K302" s="6" t="s">
        <v>21</v>
      </c>
      <c r="L302" s="6" t="s">
        <v>21</v>
      </c>
      <c r="M302" s="2" t="str">
        <f t="shared" si="4"/>
        <v/>
      </c>
    </row>
    <row r="303" spans="1:13" x14ac:dyDescent="0.25">
      <c r="A303" s="6" t="s">
        <v>118</v>
      </c>
      <c r="B303" s="6" t="s">
        <v>119</v>
      </c>
      <c r="C303" s="6" t="s">
        <v>120</v>
      </c>
      <c r="D303" s="6" t="s">
        <v>1119</v>
      </c>
      <c r="E303" s="6" t="s">
        <v>1120</v>
      </c>
      <c r="F303" s="9">
        <v>45693</v>
      </c>
      <c r="G303" s="9">
        <v>45738</v>
      </c>
      <c r="H303" s="12">
        <v>-22</v>
      </c>
      <c r="I303" s="11">
        <v>47.02</v>
      </c>
      <c r="J303" s="6" t="s">
        <v>22</v>
      </c>
      <c r="K303" s="6" t="s">
        <v>21</v>
      </c>
      <c r="L303" s="6" t="s">
        <v>21</v>
      </c>
      <c r="M303" s="2" t="str">
        <f t="shared" si="4"/>
        <v/>
      </c>
    </row>
    <row r="304" spans="1:13" x14ac:dyDescent="0.25">
      <c r="A304" s="6" t="s">
        <v>118</v>
      </c>
      <c r="B304" s="6" t="s">
        <v>119</v>
      </c>
      <c r="C304" s="6" t="s">
        <v>120</v>
      </c>
      <c r="D304" s="6" t="s">
        <v>1121</v>
      </c>
      <c r="E304" s="6" t="s">
        <v>1122</v>
      </c>
      <c r="F304" s="9">
        <v>45693</v>
      </c>
      <c r="G304" s="9">
        <v>45738</v>
      </c>
      <c r="H304" s="12">
        <v>-22</v>
      </c>
      <c r="I304" s="11">
        <v>33.25</v>
      </c>
      <c r="J304" s="6" t="s">
        <v>22</v>
      </c>
      <c r="K304" s="6" t="s">
        <v>21</v>
      </c>
      <c r="L304" s="6" t="s">
        <v>21</v>
      </c>
      <c r="M304" s="2" t="str">
        <f t="shared" si="4"/>
        <v/>
      </c>
    </row>
    <row r="305" spans="1:13" x14ac:dyDescent="0.25">
      <c r="A305" s="6" t="s">
        <v>118</v>
      </c>
      <c r="B305" s="6" t="s">
        <v>119</v>
      </c>
      <c r="C305" s="6" t="s">
        <v>120</v>
      </c>
      <c r="D305" s="6" t="s">
        <v>1123</v>
      </c>
      <c r="E305" s="6" t="s">
        <v>1124</v>
      </c>
      <c r="F305" s="9">
        <v>45693</v>
      </c>
      <c r="G305" s="9">
        <v>45723</v>
      </c>
      <c r="H305" s="12">
        <v>-7</v>
      </c>
      <c r="I305" s="11">
        <v>181.34</v>
      </c>
      <c r="J305" s="6" t="s">
        <v>22</v>
      </c>
      <c r="K305" s="6" t="s">
        <v>21</v>
      </c>
      <c r="L305" s="6" t="s">
        <v>21</v>
      </c>
      <c r="M305" s="2" t="str">
        <f t="shared" si="4"/>
        <v/>
      </c>
    </row>
    <row r="306" spans="1:13" x14ac:dyDescent="0.25">
      <c r="A306" s="6" t="s">
        <v>118</v>
      </c>
      <c r="B306" s="6" t="s">
        <v>119</v>
      </c>
      <c r="C306" s="6" t="s">
        <v>120</v>
      </c>
      <c r="D306" s="6" t="s">
        <v>1125</v>
      </c>
      <c r="E306" s="6" t="s">
        <v>1126</v>
      </c>
      <c r="F306" s="9">
        <v>45693</v>
      </c>
      <c r="G306" s="9">
        <v>45738</v>
      </c>
      <c r="H306" s="12">
        <v>-22</v>
      </c>
      <c r="I306" s="11">
        <v>45.34</v>
      </c>
      <c r="J306" s="6" t="s">
        <v>22</v>
      </c>
      <c r="K306" s="6" t="s">
        <v>21</v>
      </c>
      <c r="L306" s="6" t="s">
        <v>21</v>
      </c>
      <c r="M306" s="2" t="str">
        <f t="shared" si="4"/>
        <v/>
      </c>
    </row>
    <row r="307" spans="1:13" x14ac:dyDescent="0.25">
      <c r="A307" s="6" t="s">
        <v>118</v>
      </c>
      <c r="B307" s="6" t="s">
        <v>119</v>
      </c>
      <c r="C307" s="6" t="s">
        <v>120</v>
      </c>
      <c r="D307" s="6" t="s">
        <v>1127</v>
      </c>
      <c r="E307" s="6" t="s">
        <v>1128</v>
      </c>
      <c r="F307" s="9">
        <v>45693</v>
      </c>
      <c r="G307" s="9">
        <v>45723</v>
      </c>
      <c r="H307" s="12">
        <v>-7</v>
      </c>
      <c r="I307" s="11">
        <v>90.67</v>
      </c>
      <c r="J307" s="6" t="s">
        <v>22</v>
      </c>
      <c r="K307" s="6" t="s">
        <v>21</v>
      </c>
      <c r="L307" s="6" t="s">
        <v>21</v>
      </c>
      <c r="M307" s="2" t="str">
        <f t="shared" si="4"/>
        <v/>
      </c>
    </row>
    <row r="308" spans="1:13" x14ac:dyDescent="0.25">
      <c r="A308" s="6" t="s">
        <v>118</v>
      </c>
      <c r="B308" s="6" t="s">
        <v>119</v>
      </c>
      <c r="C308" s="6" t="s">
        <v>120</v>
      </c>
      <c r="D308" s="6" t="s">
        <v>1129</v>
      </c>
      <c r="E308" s="6" t="s">
        <v>1130</v>
      </c>
      <c r="F308" s="9">
        <v>45693</v>
      </c>
      <c r="G308" s="9">
        <v>45723</v>
      </c>
      <c r="H308" s="12">
        <v>-7</v>
      </c>
      <c r="I308" s="11">
        <v>134.13999999999999</v>
      </c>
      <c r="J308" s="6" t="s">
        <v>22</v>
      </c>
      <c r="K308" s="6" t="s">
        <v>21</v>
      </c>
      <c r="L308" s="6" t="s">
        <v>21</v>
      </c>
      <c r="M308" s="2" t="str">
        <f t="shared" si="4"/>
        <v/>
      </c>
    </row>
    <row r="309" spans="1:13" x14ac:dyDescent="0.25">
      <c r="A309" s="6" t="s">
        <v>118</v>
      </c>
      <c r="B309" s="6" t="s">
        <v>119</v>
      </c>
      <c r="C309" s="6" t="s">
        <v>120</v>
      </c>
      <c r="D309" s="6" t="s">
        <v>1131</v>
      </c>
      <c r="E309" s="6" t="s">
        <v>1132</v>
      </c>
      <c r="F309" s="9">
        <v>45693</v>
      </c>
      <c r="G309" s="9">
        <v>45723</v>
      </c>
      <c r="H309" s="12">
        <v>-7</v>
      </c>
      <c r="I309" s="11">
        <v>1212.06</v>
      </c>
      <c r="J309" s="6" t="s">
        <v>22</v>
      </c>
      <c r="K309" s="6" t="s">
        <v>21</v>
      </c>
      <c r="L309" s="6" t="s">
        <v>21</v>
      </c>
      <c r="M309" s="2" t="str">
        <f t="shared" si="4"/>
        <v/>
      </c>
    </row>
    <row r="310" spans="1:13" x14ac:dyDescent="0.25">
      <c r="A310" s="6" t="s">
        <v>118</v>
      </c>
      <c r="B310" s="6" t="s">
        <v>119</v>
      </c>
      <c r="C310" s="6" t="s">
        <v>120</v>
      </c>
      <c r="D310" s="6" t="s">
        <v>1133</v>
      </c>
      <c r="E310" s="6" t="s">
        <v>1134</v>
      </c>
      <c r="F310" s="9">
        <v>45693</v>
      </c>
      <c r="G310" s="9">
        <v>45723</v>
      </c>
      <c r="H310" s="12">
        <v>-7</v>
      </c>
      <c r="I310" s="11">
        <v>1146.76</v>
      </c>
      <c r="J310" s="6" t="s">
        <v>22</v>
      </c>
      <c r="K310" s="6" t="s">
        <v>21</v>
      </c>
      <c r="L310" s="6" t="s">
        <v>21</v>
      </c>
      <c r="M310" s="2" t="str">
        <f t="shared" si="4"/>
        <v/>
      </c>
    </row>
    <row r="311" spans="1:13" x14ac:dyDescent="0.25">
      <c r="A311" s="6" t="s">
        <v>118</v>
      </c>
      <c r="B311" s="6" t="s">
        <v>119</v>
      </c>
      <c r="C311" s="6" t="s">
        <v>120</v>
      </c>
      <c r="D311" s="6" t="s">
        <v>1135</v>
      </c>
      <c r="E311" s="6" t="s">
        <v>1136</v>
      </c>
      <c r="F311" s="9">
        <v>45693</v>
      </c>
      <c r="G311" s="9">
        <v>45723</v>
      </c>
      <c r="H311" s="12">
        <v>-7</v>
      </c>
      <c r="I311" s="11">
        <v>254.68</v>
      </c>
      <c r="J311" s="6" t="s">
        <v>22</v>
      </c>
      <c r="K311" s="6" t="s">
        <v>21</v>
      </c>
      <c r="L311" s="6" t="s">
        <v>21</v>
      </c>
      <c r="M311" s="2" t="str">
        <f t="shared" si="4"/>
        <v/>
      </c>
    </row>
    <row r="312" spans="1:13" x14ac:dyDescent="0.25">
      <c r="A312" s="6" t="s">
        <v>118</v>
      </c>
      <c r="B312" s="6" t="s">
        <v>119</v>
      </c>
      <c r="C312" s="6" t="s">
        <v>120</v>
      </c>
      <c r="D312" s="6" t="s">
        <v>1137</v>
      </c>
      <c r="E312" s="6" t="s">
        <v>1138</v>
      </c>
      <c r="F312" s="9">
        <v>45693</v>
      </c>
      <c r="G312" s="9">
        <v>45723</v>
      </c>
      <c r="H312" s="12">
        <v>-7</v>
      </c>
      <c r="I312" s="11">
        <v>181.97</v>
      </c>
      <c r="J312" s="6" t="s">
        <v>22</v>
      </c>
      <c r="K312" s="6" t="s">
        <v>21</v>
      </c>
      <c r="L312" s="6" t="s">
        <v>21</v>
      </c>
      <c r="M312" s="2" t="str">
        <f t="shared" si="4"/>
        <v/>
      </c>
    </row>
    <row r="313" spans="1:13" x14ac:dyDescent="0.25">
      <c r="A313" s="6" t="s">
        <v>118</v>
      </c>
      <c r="B313" s="6" t="s">
        <v>119</v>
      </c>
      <c r="C313" s="6" t="s">
        <v>120</v>
      </c>
      <c r="D313" s="6" t="s">
        <v>1139</v>
      </c>
      <c r="E313" s="6" t="s">
        <v>1140</v>
      </c>
      <c r="F313" s="9">
        <v>45693</v>
      </c>
      <c r="G313" s="9">
        <v>45723</v>
      </c>
      <c r="H313" s="12">
        <v>-7</v>
      </c>
      <c r="I313" s="11">
        <v>733.9</v>
      </c>
      <c r="J313" s="6" t="s">
        <v>22</v>
      </c>
      <c r="K313" s="6" t="s">
        <v>21</v>
      </c>
      <c r="L313" s="6" t="s">
        <v>21</v>
      </c>
      <c r="M313" s="2" t="str">
        <f t="shared" si="4"/>
        <v/>
      </c>
    </row>
    <row r="314" spans="1:13" x14ac:dyDescent="0.25">
      <c r="A314" s="6" t="s">
        <v>118</v>
      </c>
      <c r="B314" s="6" t="s">
        <v>119</v>
      </c>
      <c r="C314" s="6" t="s">
        <v>120</v>
      </c>
      <c r="D314" s="6" t="s">
        <v>1141</v>
      </c>
      <c r="E314" s="6" t="s">
        <v>1142</v>
      </c>
      <c r="F314" s="9">
        <v>45693</v>
      </c>
      <c r="G314" s="9">
        <v>45723</v>
      </c>
      <c r="H314" s="12">
        <v>-7</v>
      </c>
      <c r="I314" s="11">
        <v>181.34</v>
      </c>
      <c r="J314" s="6" t="s">
        <v>22</v>
      </c>
      <c r="K314" s="6" t="s">
        <v>21</v>
      </c>
      <c r="L314" s="6" t="s">
        <v>21</v>
      </c>
      <c r="M314" s="2" t="str">
        <f t="shared" si="4"/>
        <v/>
      </c>
    </row>
    <row r="315" spans="1:13" x14ac:dyDescent="0.25">
      <c r="A315" s="6" t="s">
        <v>118</v>
      </c>
      <c r="B315" s="6" t="s">
        <v>119</v>
      </c>
      <c r="C315" s="6" t="s">
        <v>120</v>
      </c>
      <c r="D315" s="6" t="s">
        <v>1143</v>
      </c>
      <c r="E315" s="6" t="s">
        <v>1144</v>
      </c>
      <c r="F315" s="9">
        <v>45693</v>
      </c>
      <c r="G315" s="9">
        <v>45723</v>
      </c>
      <c r="H315" s="12">
        <v>-7</v>
      </c>
      <c r="I315" s="11">
        <v>913.99</v>
      </c>
      <c r="J315" s="6" t="s">
        <v>22</v>
      </c>
      <c r="K315" s="6" t="s">
        <v>21</v>
      </c>
      <c r="L315" s="6" t="s">
        <v>21</v>
      </c>
      <c r="M315" s="2" t="str">
        <f t="shared" si="4"/>
        <v/>
      </c>
    </row>
    <row r="316" spans="1:13" x14ac:dyDescent="0.25">
      <c r="A316" s="6" t="s">
        <v>118</v>
      </c>
      <c r="B316" s="6" t="s">
        <v>119</v>
      </c>
      <c r="C316" s="6" t="s">
        <v>120</v>
      </c>
      <c r="D316" s="6" t="s">
        <v>1145</v>
      </c>
      <c r="E316" s="6" t="s">
        <v>1146</v>
      </c>
      <c r="F316" s="9">
        <v>45693</v>
      </c>
      <c r="G316" s="9">
        <v>45723</v>
      </c>
      <c r="H316" s="12">
        <v>-7</v>
      </c>
      <c r="I316" s="11">
        <v>580.67999999999995</v>
      </c>
      <c r="J316" s="6" t="s">
        <v>22</v>
      </c>
      <c r="K316" s="6" t="s">
        <v>21</v>
      </c>
      <c r="L316" s="6" t="s">
        <v>21</v>
      </c>
      <c r="M316" s="2" t="str">
        <f t="shared" si="4"/>
        <v/>
      </c>
    </row>
    <row r="317" spans="1:13" x14ac:dyDescent="0.25">
      <c r="A317" s="6" t="s">
        <v>118</v>
      </c>
      <c r="B317" s="6" t="s">
        <v>119</v>
      </c>
      <c r="C317" s="6" t="s">
        <v>120</v>
      </c>
      <c r="D317" s="6" t="s">
        <v>1147</v>
      </c>
      <c r="E317" s="6" t="s">
        <v>1148</v>
      </c>
      <c r="F317" s="9">
        <v>45693</v>
      </c>
      <c r="G317" s="9">
        <v>45723</v>
      </c>
      <c r="H317" s="12">
        <v>-7</v>
      </c>
      <c r="I317" s="11">
        <v>67.16</v>
      </c>
      <c r="J317" s="6" t="s">
        <v>22</v>
      </c>
      <c r="K317" s="6" t="s">
        <v>21</v>
      </c>
      <c r="L317" s="6" t="s">
        <v>21</v>
      </c>
      <c r="M317" s="2" t="str">
        <f t="shared" si="4"/>
        <v/>
      </c>
    </row>
    <row r="318" spans="1:13" x14ac:dyDescent="0.25">
      <c r="A318" s="6" t="s">
        <v>118</v>
      </c>
      <c r="B318" s="6" t="s">
        <v>119</v>
      </c>
      <c r="C318" s="6" t="s">
        <v>120</v>
      </c>
      <c r="D318" s="6" t="s">
        <v>1149</v>
      </c>
      <c r="E318" s="6" t="s">
        <v>1150</v>
      </c>
      <c r="F318" s="9">
        <v>45693</v>
      </c>
      <c r="G318" s="9">
        <v>45723</v>
      </c>
      <c r="H318" s="12">
        <v>-7</v>
      </c>
      <c r="I318" s="11">
        <v>430.21</v>
      </c>
      <c r="J318" s="6" t="s">
        <v>22</v>
      </c>
      <c r="K318" s="6" t="s">
        <v>21</v>
      </c>
      <c r="L318" s="6" t="s">
        <v>21</v>
      </c>
      <c r="M318" s="2" t="str">
        <f t="shared" si="4"/>
        <v/>
      </c>
    </row>
    <row r="319" spans="1:13" x14ac:dyDescent="0.25">
      <c r="A319" s="6" t="s">
        <v>118</v>
      </c>
      <c r="B319" s="6" t="s">
        <v>119</v>
      </c>
      <c r="C319" s="6" t="s">
        <v>120</v>
      </c>
      <c r="D319" s="6" t="s">
        <v>1151</v>
      </c>
      <c r="E319" s="6" t="s">
        <v>1152</v>
      </c>
      <c r="F319" s="9">
        <v>45693</v>
      </c>
      <c r="G319" s="9">
        <v>45723</v>
      </c>
      <c r="H319" s="12">
        <v>-7</v>
      </c>
      <c r="I319" s="11">
        <v>746.03</v>
      </c>
      <c r="J319" s="6" t="s">
        <v>22</v>
      </c>
      <c r="K319" s="6" t="s">
        <v>21</v>
      </c>
      <c r="L319" s="6" t="s">
        <v>21</v>
      </c>
      <c r="M319" s="2" t="str">
        <f t="shared" si="4"/>
        <v/>
      </c>
    </row>
    <row r="320" spans="1:13" x14ac:dyDescent="0.25">
      <c r="A320" s="6" t="s">
        <v>118</v>
      </c>
      <c r="B320" s="6" t="s">
        <v>119</v>
      </c>
      <c r="C320" s="6" t="s">
        <v>120</v>
      </c>
      <c r="D320" s="6" t="s">
        <v>1153</v>
      </c>
      <c r="E320" s="6" t="s">
        <v>1154</v>
      </c>
      <c r="F320" s="9">
        <v>45693</v>
      </c>
      <c r="G320" s="9">
        <v>45723</v>
      </c>
      <c r="H320" s="12">
        <v>-7</v>
      </c>
      <c r="I320" s="11">
        <v>360.28</v>
      </c>
      <c r="J320" s="6" t="s">
        <v>22</v>
      </c>
      <c r="K320" s="6" t="s">
        <v>21</v>
      </c>
      <c r="L320" s="6" t="s">
        <v>21</v>
      </c>
      <c r="M320" s="2" t="str">
        <f t="shared" si="4"/>
        <v/>
      </c>
    </row>
    <row r="321" spans="1:13" x14ac:dyDescent="0.25">
      <c r="A321" s="6" t="s">
        <v>118</v>
      </c>
      <c r="B321" s="6" t="s">
        <v>119</v>
      </c>
      <c r="C321" s="6" t="s">
        <v>120</v>
      </c>
      <c r="D321" s="6" t="s">
        <v>1155</v>
      </c>
      <c r="E321" s="6" t="s">
        <v>1156</v>
      </c>
      <c r="F321" s="9">
        <v>45693</v>
      </c>
      <c r="G321" s="9">
        <v>45723</v>
      </c>
      <c r="H321" s="12">
        <v>-7</v>
      </c>
      <c r="I321" s="11">
        <v>257.06</v>
      </c>
      <c r="J321" s="6" t="s">
        <v>22</v>
      </c>
      <c r="K321" s="6" t="s">
        <v>21</v>
      </c>
      <c r="L321" s="6" t="s">
        <v>21</v>
      </c>
      <c r="M321" s="2" t="str">
        <f t="shared" si="4"/>
        <v/>
      </c>
    </row>
    <row r="322" spans="1:13" x14ac:dyDescent="0.25">
      <c r="A322" s="6" t="s">
        <v>118</v>
      </c>
      <c r="B322" s="6" t="s">
        <v>119</v>
      </c>
      <c r="C322" s="6" t="s">
        <v>120</v>
      </c>
      <c r="D322" s="6" t="s">
        <v>1157</v>
      </c>
      <c r="E322" s="6" t="s">
        <v>1158</v>
      </c>
      <c r="F322" s="9">
        <v>45693</v>
      </c>
      <c r="G322" s="9">
        <v>45723</v>
      </c>
      <c r="H322" s="12">
        <v>-7</v>
      </c>
      <c r="I322" s="11">
        <v>180.67</v>
      </c>
      <c r="J322" s="6" t="s">
        <v>22</v>
      </c>
      <c r="K322" s="6" t="s">
        <v>21</v>
      </c>
      <c r="L322" s="6" t="s">
        <v>21</v>
      </c>
      <c r="M322" s="2" t="str">
        <f t="shared" si="4"/>
        <v/>
      </c>
    </row>
    <row r="323" spans="1:13" x14ac:dyDescent="0.25">
      <c r="A323" s="6" t="s">
        <v>118</v>
      </c>
      <c r="B323" s="6" t="s">
        <v>119</v>
      </c>
      <c r="C323" s="6" t="s">
        <v>120</v>
      </c>
      <c r="D323" s="6" t="s">
        <v>1159</v>
      </c>
      <c r="E323" s="6" t="s">
        <v>1160</v>
      </c>
      <c r="F323" s="9">
        <v>45693</v>
      </c>
      <c r="G323" s="9">
        <v>45723</v>
      </c>
      <c r="H323" s="12">
        <v>-7</v>
      </c>
      <c r="I323" s="11">
        <v>42.88</v>
      </c>
      <c r="J323" s="6" t="s">
        <v>22</v>
      </c>
      <c r="K323" s="6" t="s">
        <v>21</v>
      </c>
      <c r="L323" s="6" t="s">
        <v>21</v>
      </c>
      <c r="M323" s="2" t="str">
        <f t="shared" ref="M323:M386" si="5">IF(H323&gt;0,I323,"")</f>
        <v/>
      </c>
    </row>
    <row r="324" spans="1:13" x14ac:dyDescent="0.25">
      <c r="A324" s="6" t="s">
        <v>118</v>
      </c>
      <c r="B324" s="6" t="s">
        <v>119</v>
      </c>
      <c r="C324" s="6" t="s">
        <v>120</v>
      </c>
      <c r="D324" s="6" t="s">
        <v>1161</v>
      </c>
      <c r="E324" s="6" t="s">
        <v>1162</v>
      </c>
      <c r="F324" s="9">
        <v>45693</v>
      </c>
      <c r="G324" s="9">
        <v>45723</v>
      </c>
      <c r="H324" s="12">
        <v>-7</v>
      </c>
      <c r="I324" s="11">
        <v>417.34</v>
      </c>
      <c r="J324" s="6" t="s">
        <v>22</v>
      </c>
      <c r="K324" s="6" t="s">
        <v>21</v>
      </c>
      <c r="L324" s="6" t="s">
        <v>21</v>
      </c>
      <c r="M324" s="2" t="str">
        <f t="shared" si="5"/>
        <v/>
      </c>
    </row>
    <row r="325" spans="1:13" x14ac:dyDescent="0.25">
      <c r="A325" s="6" t="s">
        <v>118</v>
      </c>
      <c r="B325" s="6" t="s">
        <v>119</v>
      </c>
      <c r="C325" s="6" t="s">
        <v>120</v>
      </c>
      <c r="D325" s="6" t="s">
        <v>1163</v>
      </c>
      <c r="E325" s="6" t="s">
        <v>1164</v>
      </c>
      <c r="F325" s="9">
        <v>45693</v>
      </c>
      <c r="G325" s="9">
        <v>45723</v>
      </c>
      <c r="H325" s="12">
        <v>-7</v>
      </c>
      <c r="I325" s="11">
        <v>148.68</v>
      </c>
      <c r="J325" s="6" t="s">
        <v>22</v>
      </c>
      <c r="K325" s="6" t="s">
        <v>21</v>
      </c>
      <c r="L325" s="6" t="s">
        <v>21</v>
      </c>
      <c r="M325" s="2" t="str">
        <f t="shared" si="5"/>
        <v/>
      </c>
    </row>
    <row r="326" spans="1:13" x14ac:dyDescent="0.25">
      <c r="A326" s="6" t="s">
        <v>118</v>
      </c>
      <c r="B326" s="6" t="s">
        <v>119</v>
      </c>
      <c r="C326" s="6" t="s">
        <v>120</v>
      </c>
      <c r="D326" s="6" t="s">
        <v>1165</v>
      </c>
      <c r="E326" s="6" t="s">
        <v>1166</v>
      </c>
      <c r="F326" s="9">
        <v>45693</v>
      </c>
      <c r="G326" s="9">
        <v>45723</v>
      </c>
      <c r="H326" s="12">
        <v>-7</v>
      </c>
      <c r="I326" s="11">
        <v>264.10000000000002</v>
      </c>
      <c r="J326" s="6" t="s">
        <v>22</v>
      </c>
      <c r="K326" s="6" t="s">
        <v>21</v>
      </c>
      <c r="L326" s="6" t="s">
        <v>21</v>
      </c>
      <c r="M326" s="2" t="str">
        <f t="shared" si="5"/>
        <v/>
      </c>
    </row>
    <row r="327" spans="1:13" x14ac:dyDescent="0.25">
      <c r="A327" s="6" t="s">
        <v>118</v>
      </c>
      <c r="B327" s="6" t="s">
        <v>119</v>
      </c>
      <c r="C327" s="6" t="s">
        <v>120</v>
      </c>
      <c r="D327" s="6" t="s">
        <v>1167</v>
      </c>
      <c r="E327" s="6" t="s">
        <v>1168</v>
      </c>
      <c r="F327" s="9">
        <v>45693</v>
      </c>
      <c r="G327" s="9">
        <v>45723</v>
      </c>
      <c r="H327" s="12">
        <v>-7</v>
      </c>
      <c r="I327" s="11">
        <v>45.65</v>
      </c>
      <c r="J327" s="6" t="s">
        <v>22</v>
      </c>
      <c r="K327" s="6" t="s">
        <v>21</v>
      </c>
      <c r="L327" s="6" t="s">
        <v>21</v>
      </c>
      <c r="M327" s="2" t="str">
        <f t="shared" si="5"/>
        <v/>
      </c>
    </row>
    <row r="328" spans="1:13" x14ac:dyDescent="0.25">
      <c r="A328" s="6" t="s">
        <v>118</v>
      </c>
      <c r="B328" s="6" t="s">
        <v>119</v>
      </c>
      <c r="C328" s="6" t="s">
        <v>120</v>
      </c>
      <c r="D328" s="6" t="s">
        <v>1169</v>
      </c>
      <c r="E328" s="6" t="s">
        <v>1170</v>
      </c>
      <c r="F328" s="9">
        <v>45693</v>
      </c>
      <c r="G328" s="9">
        <v>45723</v>
      </c>
      <c r="H328" s="12">
        <v>-7</v>
      </c>
      <c r="I328" s="11">
        <v>2532.91</v>
      </c>
      <c r="J328" s="6" t="s">
        <v>22</v>
      </c>
      <c r="K328" s="6" t="s">
        <v>21</v>
      </c>
      <c r="L328" s="6" t="s">
        <v>21</v>
      </c>
      <c r="M328" s="2" t="str">
        <f t="shared" si="5"/>
        <v/>
      </c>
    </row>
    <row r="329" spans="1:13" x14ac:dyDescent="0.25">
      <c r="A329" s="6" t="s">
        <v>118</v>
      </c>
      <c r="B329" s="6" t="s">
        <v>119</v>
      </c>
      <c r="C329" s="6" t="s">
        <v>120</v>
      </c>
      <c r="D329" s="6" t="s">
        <v>1171</v>
      </c>
      <c r="E329" s="6" t="s">
        <v>1172</v>
      </c>
      <c r="F329" s="9">
        <v>45693</v>
      </c>
      <c r="G329" s="9">
        <v>45738</v>
      </c>
      <c r="H329" s="12">
        <v>-22</v>
      </c>
      <c r="I329" s="11">
        <v>2966.7</v>
      </c>
      <c r="J329" s="6" t="s">
        <v>22</v>
      </c>
      <c r="K329" s="6" t="s">
        <v>21</v>
      </c>
      <c r="L329" s="6" t="s">
        <v>21</v>
      </c>
      <c r="M329" s="2" t="str">
        <f t="shared" si="5"/>
        <v/>
      </c>
    </row>
    <row r="330" spans="1:13" x14ac:dyDescent="0.25">
      <c r="A330" s="6" t="s">
        <v>118</v>
      </c>
      <c r="B330" s="6" t="s">
        <v>119</v>
      </c>
      <c r="C330" s="6" t="s">
        <v>120</v>
      </c>
      <c r="D330" s="6" t="s">
        <v>1173</v>
      </c>
      <c r="E330" s="6" t="s">
        <v>1174</v>
      </c>
      <c r="F330" s="9">
        <v>45693</v>
      </c>
      <c r="G330" s="9">
        <v>45723</v>
      </c>
      <c r="H330" s="12">
        <v>-7</v>
      </c>
      <c r="I330" s="11">
        <v>475.37</v>
      </c>
      <c r="J330" s="6" t="s">
        <v>22</v>
      </c>
      <c r="K330" s="6" t="s">
        <v>21</v>
      </c>
      <c r="L330" s="6" t="s">
        <v>21</v>
      </c>
      <c r="M330" s="2" t="str">
        <f t="shared" si="5"/>
        <v/>
      </c>
    </row>
    <row r="331" spans="1:13" x14ac:dyDescent="0.25">
      <c r="A331" s="6" t="s">
        <v>118</v>
      </c>
      <c r="B331" s="6" t="s">
        <v>119</v>
      </c>
      <c r="C331" s="6" t="s">
        <v>120</v>
      </c>
      <c r="D331" s="6" t="s">
        <v>1175</v>
      </c>
      <c r="E331" s="6" t="s">
        <v>1176</v>
      </c>
      <c r="F331" s="9">
        <v>45693</v>
      </c>
      <c r="G331" s="9">
        <v>45723</v>
      </c>
      <c r="H331" s="12">
        <v>-7</v>
      </c>
      <c r="I331" s="11">
        <v>183.19</v>
      </c>
      <c r="J331" s="6" t="s">
        <v>22</v>
      </c>
      <c r="K331" s="6" t="s">
        <v>21</v>
      </c>
      <c r="L331" s="6" t="s">
        <v>21</v>
      </c>
      <c r="M331" s="2" t="str">
        <f t="shared" si="5"/>
        <v/>
      </c>
    </row>
    <row r="332" spans="1:13" x14ac:dyDescent="0.25">
      <c r="A332" s="6" t="s">
        <v>118</v>
      </c>
      <c r="B332" s="6" t="s">
        <v>119</v>
      </c>
      <c r="C332" s="6" t="s">
        <v>120</v>
      </c>
      <c r="D332" s="6" t="s">
        <v>1177</v>
      </c>
      <c r="E332" s="6" t="s">
        <v>1178</v>
      </c>
      <c r="F332" s="9">
        <v>45693</v>
      </c>
      <c r="G332" s="9">
        <v>45723</v>
      </c>
      <c r="H332" s="12">
        <v>-7</v>
      </c>
      <c r="I332" s="11">
        <v>140.81</v>
      </c>
      <c r="J332" s="6" t="s">
        <v>22</v>
      </c>
      <c r="K332" s="6" t="s">
        <v>21</v>
      </c>
      <c r="L332" s="6" t="s">
        <v>21</v>
      </c>
      <c r="M332" s="2" t="str">
        <f t="shared" si="5"/>
        <v/>
      </c>
    </row>
    <row r="333" spans="1:13" x14ac:dyDescent="0.25">
      <c r="A333" s="6" t="s">
        <v>118</v>
      </c>
      <c r="B333" s="6" t="s">
        <v>119</v>
      </c>
      <c r="C333" s="6" t="s">
        <v>120</v>
      </c>
      <c r="D333" s="6" t="s">
        <v>1179</v>
      </c>
      <c r="E333" s="6" t="s">
        <v>1180</v>
      </c>
      <c r="F333" s="9">
        <v>45693</v>
      </c>
      <c r="G333" s="9">
        <v>45723</v>
      </c>
      <c r="H333" s="12">
        <v>-7</v>
      </c>
      <c r="I333" s="11">
        <v>225.18</v>
      </c>
      <c r="J333" s="6" t="s">
        <v>22</v>
      </c>
      <c r="K333" s="6" t="s">
        <v>21</v>
      </c>
      <c r="L333" s="6" t="s">
        <v>21</v>
      </c>
      <c r="M333" s="2" t="str">
        <f t="shared" si="5"/>
        <v/>
      </c>
    </row>
    <row r="334" spans="1:13" x14ac:dyDescent="0.25">
      <c r="A334" s="6" t="s">
        <v>118</v>
      </c>
      <c r="B334" s="6" t="s">
        <v>119</v>
      </c>
      <c r="C334" s="6" t="s">
        <v>120</v>
      </c>
      <c r="D334" s="6" t="s">
        <v>1181</v>
      </c>
      <c r="E334" s="6" t="s">
        <v>1182</v>
      </c>
      <c r="F334" s="9">
        <v>45693</v>
      </c>
      <c r="G334" s="9">
        <v>45738</v>
      </c>
      <c r="H334" s="12">
        <v>-22</v>
      </c>
      <c r="I334" s="11">
        <v>1115.32</v>
      </c>
      <c r="J334" s="6" t="s">
        <v>22</v>
      </c>
      <c r="K334" s="6" t="s">
        <v>21</v>
      </c>
      <c r="L334" s="6" t="s">
        <v>21</v>
      </c>
      <c r="M334" s="2" t="str">
        <f t="shared" si="5"/>
        <v/>
      </c>
    </row>
    <row r="335" spans="1:13" x14ac:dyDescent="0.25">
      <c r="A335" s="6" t="s">
        <v>118</v>
      </c>
      <c r="B335" s="6" t="s">
        <v>119</v>
      </c>
      <c r="C335" s="6" t="s">
        <v>120</v>
      </c>
      <c r="D335" s="6" t="s">
        <v>1183</v>
      </c>
      <c r="E335" s="6" t="s">
        <v>1184</v>
      </c>
      <c r="F335" s="9">
        <v>45693</v>
      </c>
      <c r="G335" s="9">
        <v>45723</v>
      </c>
      <c r="H335" s="12">
        <v>-7</v>
      </c>
      <c r="I335" s="11">
        <v>1109.95</v>
      </c>
      <c r="J335" s="6" t="s">
        <v>22</v>
      </c>
      <c r="K335" s="6" t="s">
        <v>21</v>
      </c>
      <c r="L335" s="6" t="s">
        <v>21</v>
      </c>
      <c r="M335" s="2" t="str">
        <f t="shared" si="5"/>
        <v/>
      </c>
    </row>
    <row r="336" spans="1:13" x14ac:dyDescent="0.25">
      <c r="A336" s="6" t="s">
        <v>118</v>
      </c>
      <c r="B336" s="6" t="s">
        <v>119</v>
      </c>
      <c r="C336" s="6" t="s">
        <v>120</v>
      </c>
      <c r="D336" s="6" t="s">
        <v>1185</v>
      </c>
      <c r="E336" s="6" t="s">
        <v>1186</v>
      </c>
      <c r="F336" s="9">
        <v>45693</v>
      </c>
      <c r="G336" s="9">
        <v>45723</v>
      </c>
      <c r="H336" s="12">
        <v>-7</v>
      </c>
      <c r="I336" s="11">
        <v>587.02</v>
      </c>
      <c r="J336" s="6" t="s">
        <v>22</v>
      </c>
      <c r="K336" s="6" t="s">
        <v>21</v>
      </c>
      <c r="L336" s="6" t="s">
        <v>21</v>
      </c>
      <c r="M336" s="2" t="str">
        <f t="shared" si="5"/>
        <v/>
      </c>
    </row>
    <row r="337" spans="1:13" x14ac:dyDescent="0.25">
      <c r="A337" s="6" t="s">
        <v>118</v>
      </c>
      <c r="B337" s="6" t="s">
        <v>119</v>
      </c>
      <c r="C337" s="6" t="s">
        <v>120</v>
      </c>
      <c r="D337" s="6" t="s">
        <v>1187</v>
      </c>
      <c r="E337" s="6" t="s">
        <v>1188</v>
      </c>
      <c r="F337" s="9">
        <v>45693</v>
      </c>
      <c r="G337" s="9">
        <v>45723</v>
      </c>
      <c r="H337" s="12">
        <v>-7</v>
      </c>
      <c r="I337" s="11">
        <v>251.51</v>
      </c>
      <c r="J337" s="6" t="s">
        <v>22</v>
      </c>
      <c r="K337" s="6" t="s">
        <v>21</v>
      </c>
      <c r="L337" s="6" t="s">
        <v>21</v>
      </c>
      <c r="M337" s="2" t="str">
        <f t="shared" si="5"/>
        <v/>
      </c>
    </row>
    <row r="338" spans="1:13" x14ac:dyDescent="0.25">
      <c r="A338" s="6" t="s">
        <v>118</v>
      </c>
      <c r="B338" s="6" t="s">
        <v>119</v>
      </c>
      <c r="C338" s="6" t="s">
        <v>120</v>
      </c>
      <c r="D338" s="6" t="s">
        <v>1189</v>
      </c>
      <c r="E338" s="6" t="s">
        <v>1190</v>
      </c>
      <c r="F338" s="9">
        <v>45693</v>
      </c>
      <c r="G338" s="9">
        <v>45723</v>
      </c>
      <c r="H338" s="12">
        <v>-7</v>
      </c>
      <c r="I338" s="11">
        <v>273.24</v>
      </c>
      <c r="J338" s="6" t="s">
        <v>22</v>
      </c>
      <c r="K338" s="6" t="s">
        <v>21</v>
      </c>
      <c r="L338" s="6" t="s">
        <v>21</v>
      </c>
      <c r="M338" s="2" t="str">
        <f t="shared" si="5"/>
        <v/>
      </c>
    </row>
    <row r="339" spans="1:13" x14ac:dyDescent="0.25">
      <c r="A339" s="6" t="s">
        <v>118</v>
      </c>
      <c r="B339" s="6" t="s">
        <v>119</v>
      </c>
      <c r="C339" s="6" t="s">
        <v>120</v>
      </c>
      <c r="D339" s="6" t="s">
        <v>1191</v>
      </c>
      <c r="E339" s="6" t="s">
        <v>1192</v>
      </c>
      <c r="F339" s="9">
        <v>45693</v>
      </c>
      <c r="G339" s="9">
        <v>45723</v>
      </c>
      <c r="H339" s="12">
        <v>-7</v>
      </c>
      <c r="I339" s="11">
        <v>251.51</v>
      </c>
      <c r="J339" s="6" t="s">
        <v>22</v>
      </c>
      <c r="K339" s="6" t="s">
        <v>21</v>
      </c>
      <c r="L339" s="6" t="s">
        <v>21</v>
      </c>
      <c r="M339" s="2" t="str">
        <f t="shared" si="5"/>
        <v/>
      </c>
    </row>
    <row r="340" spans="1:13" x14ac:dyDescent="0.25">
      <c r="A340" s="6" t="s">
        <v>118</v>
      </c>
      <c r="B340" s="6" t="s">
        <v>119</v>
      </c>
      <c r="C340" s="6" t="s">
        <v>120</v>
      </c>
      <c r="D340" s="6" t="s">
        <v>1193</v>
      </c>
      <c r="E340" s="6" t="s">
        <v>1194</v>
      </c>
      <c r="F340" s="9">
        <v>45693</v>
      </c>
      <c r="G340" s="9">
        <v>45723</v>
      </c>
      <c r="H340" s="12">
        <v>-7</v>
      </c>
      <c r="I340" s="11">
        <v>47.26</v>
      </c>
      <c r="J340" s="6" t="s">
        <v>22</v>
      </c>
      <c r="K340" s="6" t="s">
        <v>21</v>
      </c>
      <c r="L340" s="6" t="s">
        <v>21</v>
      </c>
      <c r="M340" s="2" t="str">
        <f t="shared" si="5"/>
        <v/>
      </c>
    </row>
    <row r="341" spans="1:13" x14ac:dyDescent="0.25">
      <c r="A341" s="6" t="s">
        <v>118</v>
      </c>
      <c r="B341" s="6" t="s">
        <v>119</v>
      </c>
      <c r="C341" s="6" t="s">
        <v>120</v>
      </c>
      <c r="D341" s="6" t="s">
        <v>1195</v>
      </c>
      <c r="E341" s="6" t="s">
        <v>1196</v>
      </c>
      <c r="F341" s="9">
        <v>45693</v>
      </c>
      <c r="G341" s="9">
        <v>45723</v>
      </c>
      <c r="H341" s="12">
        <v>-7</v>
      </c>
      <c r="I341" s="11">
        <v>86.26</v>
      </c>
      <c r="J341" s="6" t="s">
        <v>22</v>
      </c>
      <c r="K341" s="6" t="s">
        <v>21</v>
      </c>
      <c r="L341" s="6" t="s">
        <v>21</v>
      </c>
      <c r="M341" s="2" t="str">
        <f t="shared" si="5"/>
        <v/>
      </c>
    </row>
    <row r="342" spans="1:13" x14ac:dyDescent="0.25">
      <c r="A342" s="6" t="s">
        <v>118</v>
      </c>
      <c r="B342" s="6" t="s">
        <v>119</v>
      </c>
      <c r="C342" s="6" t="s">
        <v>120</v>
      </c>
      <c r="D342" s="6" t="s">
        <v>1197</v>
      </c>
      <c r="E342" s="6" t="s">
        <v>1198</v>
      </c>
      <c r="F342" s="9">
        <v>45693</v>
      </c>
      <c r="G342" s="9">
        <v>45723</v>
      </c>
      <c r="H342" s="12">
        <v>-7</v>
      </c>
      <c r="I342" s="11">
        <v>86.26</v>
      </c>
      <c r="J342" s="6" t="s">
        <v>22</v>
      </c>
      <c r="K342" s="6" t="s">
        <v>21</v>
      </c>
      <c r="L342" s="6" t="s">
        <v>21</v>
      </c>
      <c r="M342" s="2" t="str">
        <f t="shared" si="5"/>
        <v/>
      </c>
    </row>
    <row r="343" spans="1:13" x14ac:dyDescent="0.25">
      <c r="A343" s="6" t="s">
        <v>118</v>
      </c>
      <c r="B343" s="6" t="s">
        <v>119</v>
      </c>
      <c r="C343" s="6" t="s">
        <v>120</v>
      </c>
      <c r="D343" s="6" t="s">
        <v>1199</v>
      </c>
      <c r="E343" s="6" t="s">
        <v>1200</v>
      </c>
      <c r="F343" s="9">
        <v>45693</v>
      </c>
      <c r="G343" s="9">
        <v>45723</v>
      </c>
      <c r="H343" s="12">
        <v>-7</v>
      </c>
      <c r="I343" s="11">
        <v>81</v>
      </c>
      <c r="J343" s="6" t="s">
        <v>22</v>
      </c>
      <c r="K343" s="6" t="s">
        <v>21</v>
      </c>
      <c r="L343" s="6" t="s">
        <v>21</v>
      </c>
      <c r="M343" s="2" t="str">
        <f t="shared" si="5"/>
        <v/>
      </c>
    </row>
    <row r="344" spans="1:13" x14ac:dyDescent="0.25">
      <c r="A344" s="6" t="s">
        <v>118</v>
      </c>
      <c r="B344" s="6" t="s">
        <v>119</v>
      </c>
      <c r="C344" s="6" t="s">
        <v>120</v>
      </c>
      <c r="D344" s="6" t="s">
        <v>1201</v>
      </c>
      <c r="E344" s="6" t="s">
        <v>1202</v>
      </c>
      <c r="F344" s="9">
        <v>45693</v>
      </c>
      <c r="G344" s="9">
        <v>45723</v>
      </c>
      <c r="H344" s="12">
        <v>-7</v>
      </c>
      <c r="I344" s="11">
        <v>1942.8</v>
      </c>
      <c r="J344" s="6" t="s">
        <v>22</v>
      </c>
      <c r="K344" s="6" t="s">
        <v>21</v>
      </c>
      <c r="L344" s="6" t="s">
        <v>21</v>
      </c>
      <c r="M344" s="2" t="str">
        <f t="shared" si="5"/>
        <v/>
      </c>
    </row>
    <row r="345" spans="1:13" x14ac:dyDescent="0.25">
      <c r="A345" s="6" t="s">
        <v>118</v>
      </c>
      <c r="B345" s="6" t="s">
        <v>119</v>
      </c>
      <c r="C345" s="6" t="s">
        <v>120</v>
      </c>
      <c r="D345" s="6" t="s">
        <v>1203</v>
      </c>
      <c r="E345" s="6" t="s">
        <v>1204</v>
      </c>
      <c r="F345" s="9">
        <v>45693</v>
      </c>
      <c r="G345" s="9">
        <v>45723</v>
      </c>
      <c r="H345" s="12">
        <v>-7</v>
      </c>
      <c r="I345" s="11">
        <v>86.26</v>
      </c>
      <c r="J345" s="6" t="s">
        <v>22</v>
      </c>
      <c r="K345" s="6" t="s">
        <v>21</v>
      </c>
      <c r="L345" s="6" t="s">
        <v>21</v>
      </c>
      <c r="M345" s="2" t="str">
        <f t="shared" si="5"/>
        <v/>
      </c>
    </row>
    <row r="346" spans="1:13" x14ac:dyDescent="0.25">
      <c r="A346" s="6" t="s">
        <v>118</v>
      </c>
      <c r="B346" s="6" t="s">
        <v>119</v>
      </c>
      <c r="C346" s="6" t="s">
        <v>120</v>
      </c>
      <c r="D346" s="6" t="s">
        <v>1205</v>
      </c>
      <c r="E346" s="6" t="s">
        <v>1206</v>
      </c>
      <c r="F346" s="9">
        <v>45693</v>
      </c>
      <c r="G346" s="9">
        <v>45723</v>
      </c>
      <c r="H346" s="12">
        <v>-7</v>
      </c>
      <c r="I346" s="11">
        <v>162</v>
      </c>
      <c r="J346" s="6" t="s">
        <v>22</v>
      </c>
      <c r="K346" s="6" t="s">
        <v>21</v>
      </c>
      <c r="L346" s="6" t="s">
        <v>21</v>
      </c>
      <c r="M346" s="2" t="str">
        <f t="shared" si="5"/>
        <v/>
      </c>
    </row>
    <row r="347" spans="1:13" x14ac:dyDescent="0.25">
      <c r="A347" s="6" t="s">
        <v>118</v>
      </c>
      <c r="B347" s="6" t="s">
        <v>119</v>
      </c>
      <c r="C347" s="6" t="s">
        <v>120</v>
      </c>
      <c r="D347" s="6" t="s">
        <v>1207</v>
      </c>
      <c r="E347" s="6" t="s">
        <v>1208</v>
      </c>
      <c r="F347" s="9">
        <v>45693</v>
      </c>
      <c r="G347" s="9">
        <v>45723</v>
      </c>
      <c r="H347" s="12">
        <v>-7</v>
      </c>
      <c r="I347" s="11">
        <v>123</v>
      </c>
      <c r="J347" s="6" t="s">
        <v>22</v>
      </c>
      <c r="K347" s="6" t="s">
        <v>21</v>
      </c>
      <c r="L347" s="6" t="s">
        <v>21</v>
      </c>
      <c r="M347" s="2" t="str">
        <f t="shared" si="5"/>
        <v/>
      </c>
    </row>
    <row r="348" spans="1:13" x14ac:dyDescent="0.25">
      <c r="A348" s="6" t="s">
        <v>118</v>
      </c>
      <c r="B348" s="6" t="s">
        <v>119</v>
      </c>
      <c r="C348" s="6" t="s">
        <v>120</v>
      </c>
      <c r="D348" s="6" t="s">
        <v>1209</v>
      </c>
      <c r="E348" s="6" t="s">
        <v>1210</v>
      </c>
      <c r="F348" s="9">
        <v>45693</v>
      </c>
      <c r="G348" s="9">
        <v>45723</v>
      </c>
      <c r="H348" s="12">
        <v>-7</v>
      </c>
      <c r="I348" s="11">
        <v>244.5</v>
      </c>
      <c r="J348" s="6" t="s">
        <v>22</v>
      </c>
      <c r="K348" s="6" t="s">
        <v>21</v>
      </c>
      <c r="L348" s="6" t="s">
        <v>21</v>
      </c>
      <c r="M348" s="2" t="str">
        <f t="shared" si="5"/>
        <v/>
      </c>
    </row>
    <row r="349" spans="1:13" x14ac:dyDescent="0.25">
      <c r="A349" s="6" t="s">
        <v>118</v>
      </c>
      <c r="B349" s="6" t="s">
        <v>119</v>
      </c>
      <c r="C349" s="6" t="s">
        <v>120</v>
      </c>
      <c r="D349" s="6" t="s">
        <v>1211</v>
      </c>
      <c r="E349" s="6" t="s">
        <v>1212</v>
      </c>
      <c r="F349" s="9">
        <v>45693</v>
      </c>
      <c r="G349" s="9">
        <v>45723</v>
      </c>
      <c r="H349" s="12">
        <v>-7</v>
      </c>
      <c r="I349" s="11">
        <v>57</v>
      </c>
      <c r="J349" s="6" t="s">
        <v>22</v>
      </c>
      <c r="K349" s="6" t="s">
        <v>21</v>
      </c>
      <c r="L349" s="6" t="s">
        <v>21</v>
      </c>
      <c r="M349" s="2" t="str">
        <f t="shared" si="5"/>
        <v/>
      </c>
    </row>
    <row r="350" spans="1:13" x14ac:dyDescent="0.25">
      <c r="A350" s="6" t="s">
        <v>118</v>
      </c>
      <c r="B350" s="6" t="s">
        <v>119</v>
      </c>
      <c r="C350" s="6" t="s">
        <v>120</v>
      </c>
      <c r="D350" s="6" t="s">
        <v>1213</v>
      </c>
      <c r="E350" s="6" t="s">
        <v>1214</v>
      </c>
      <c r="F350" s="9">
        <v>45693</v>
      </c>
      <c r="G350" s="9">
        <v>45723</v>
      </c>
      <c r="H350" s="12">
        <v>-7</v>
      </c>
      <c r="I350" s="11">
        <v>120</v>
      </c>
      <c r="J350" s="6" t="s">
        <v>22</v>
      </c>
      <c r="K350" s="6" t="s">
        <v>21</v>
      </c>
      <c r="L350" s="6" t="s">
        <v>21</v>
      </c>
      <c r="M350" s="2" t="str">
        <f t="shared" si="5"/>
        <v/>
      </c>
    </row>
    <row r="351" spans="1:13" x14ac:dyDescent="0.25">
      <c r="A351" s="6" t="s">
        <v>118</v>
      </c>
      <c r="B351" s="6" t="s">
        <v>119</v>
      </c>
      <c r="C351" s="6" t="s">
        <v>120</v>
      </c>
      <c r="D351" s="6" t="s">
        <v>1215</v>
      </c>
      <c r="E351" s="6" t="s">
        <v>1216</v>
      </c>
      <c r="F351" s="9">
        <v>45693</v>
      </c>
      <c r="G351" s="9">
        <v>45723</v>
      </c>
      <c r="H351" s="12">
        <v>-7</v>
      </c>
      <c r="I351" s="11">
        <v>580.52</v>
      </c>
      <c r="J351" s="6" t="s">
        <v>22</v>
      </c>
      <c r="K351" s="6" t="s">
        <v>21</v>
      </c>
      <c r="L351" s="6" t="s">
        <v>21</v>
      </c>
      <c r="M351" s="2" t="str">
        <f t="shared" si="5"/>
        <v/>
      </c>
    </row>
    <row r="352" spans="1:13" x14ac:dyDescent="0.25">
      <c r="A352" s="6" t="s">
        <v>118</v>
      </c>
      <c r="B352" s="6" t="s">
        <v>119</v>
      </c>
      <c r="C352" s="6" t="s">
        <v>120</v>
      </c>
      <c r="D352" s="6" t="s">
        <v>1217</v>
      </c>
      <c r="E352" s="6" t="s">
        <v>1218</v>
      </c>
      <c r="F352" s="9">
        <v>45693</v>
      </c>
      <c r="G352" s="9">
        <v>45723</v>
      </c>
      <c r="H352" s="12">
        <v>-7</v>
      </c>
      <c r="I352" s="11">
        <v>1289.4000000000001</v>
      </c>
      <c r="J352" s="6" t="s">
        <v>22</v>
      </c>
      <c r="K352" s="6" t="s">
        <v>21</v>
      </c>
      <c r="L352" s="6" t="s">
        <v>21</v>
      </c>
      <c r="M352" s="2" t="str">
        <f t="shared" si="5"/>
        <v/>
      </c>
    </row>
    <row r="353" spans="1:13" x14ac:dyDescent="0.25">
      <c r="A353" s="6" t="s">
        <v>118</v>
      </c>
      <c r="B353" s="6" t="s">
        <v>119</v>
      </c>
      <c r="C353" s="6" t="s">
        <v>120</v>
      </c>
      <c r="D353" s="6" t="s">
        <v>1219</v>
      </c>
      <c r="E353" s="6" t="s">
        <v>1220</v>
      </c>
      <c r="F353" s="9">
        <v>45693</v>
      </c>
      <c r="G353" s="9">
        <v>45723</v>
      </c>
      <c r="H353" s="12">
        <v>-7</v>
      </c>
      <c r="I353" s="11">
        <v>96</v>
      </c>
      <c r="J353" s="6" t="s">
        <v>22</v>
      </c>
      <c r="K353" s="6" t="s">
        <v>21</v>
      </c>
      <c r="L353" s="6" t="s">
        <v>21</v>
      </c>
      <c r="M353" s="2" t="str">
        <f t="shared" si="5"/>
        <v/>
      </c>
    </row>
    <row r="354" spans="1:13" x14ac:dyDescent="0.25">
      <c r="A354" s="6" t="s">
        <v>118</v>
      </c>
      <c r="B354" s="6" t="s">
        <v>119</v>
      </c>
      <c r="C354" s="6" t="s">
        <v>120</v>
      </c>
      <c r="D354" s="6" t="s">
        <v>1221</v>
      </c>
      <c r="E354" s="6" t="s">
        <v>1222</v>
      </c>
      <c r="F354" s="9">
        <v>45693</v>
      </c>
      <c r="G354" s="9">
        <v>45723</v>
      </c>
      <c r="H354" s="12">
        <v>-7</v>
      </c>
      <c r="I354" s="11">
        <v>37.5</v>
      </c>
      <c r="J354" s="6" t="s">
        <v>22</v>
      </c>
      <c r="K354" s="6" t="s">
        <v>21</v>
      </c>
      <c r="L354" s="6" t="s">
        <v>21</v>
      </c>
      <c r="M354" s="2" t="str">
        <f t="shared" si="5"/>
        <v/>
      </c>
    </row>
    <row r="355" spans="1:13" x14ac:dyDescent="0.25">
      <c r="A355" s="6" t="s">
        <v>118</v>
      </c>
      <c r="B355" s="6" t="s">
        <v>119</v>
      </c>
      <c r="C355" s="6" t="s">
        <v>120</v>
      </c>
      <c r="D355" s="6" t="s">
        <v>1223</v>
      </c>
      <c r="E355" s="6" t="s">
        <v>1224</v>
      </c>
      <c r="F355" s="9">
        <v>45693</v>
      </c>
      <c r="G355" s="9">
        <v>45723</v>
      </c>
      <c r="H355" s="12">
        <v>-7</v>
      </c>
      <c r="I355" s="11">
        <v>549</v>
      </c>
      <c r="J355" s="6" t="s">
        <v>22</v>
      </c>
      <c r="K355" s="6" t="s">
        <v>21</v>
      </c>
      <c r="L355" s="6" t="s">
        <v>21</v>
      </c>
      <c r="M355" s="2" t="str">
        <f t="shared" si="5"/>
        <v/>
      </c>
    </row>
    <row r="356" spans="1:13" x14ac:dyDescent="0.25">
      <c r="A356" s="6" t="s">
        <v>118</v>
      </c>
      <c r="B356" s="6" t="s">
        <v>119</v>
      </c>
      <c r="C356" s="6" t="s">
        <v>120</v>
      </c>
      <c r="D356" s="6" t="s">
        <v>1225</v>
      </c>
      <c r="E356" s="6" t="s">
        <v>1226</v>
      </c>
      <c r="F356" s="9">
        <v>45693</v>
      </c>
      <c r="G356" s="9">
        <v>45723</v>
      </c>
      <c r="H356" s="12">
        <v>-7</v>
      </c>
      <c r="I356" s="11">
        <v>82.5</v>
      </c>
      <c r="J356" s="6" t="s">
        <v>22</v>
      </c>
      <c r="K356" s="6" t="s">
        <v>21</v>
      </c>
      <c r="L356" s="6" t="s">
        <v>21</v>
      </c>
      <c r="M356" s="2" t="str">
        <f t="shared" si="5"/>
        <v/>
      </c>
    </row>
    <row r="357" spans="1:13" x14ac:dyDescent="0.25">
      <c r="A357" s="6" t="s">
        <v>118</v>
      </c>
      <c r="B357" s="6" t="s">
        <v>119</v>
      </c>
      <c r="C357" s="6" t="s">
        <v>120</v>
      </c>
      <c r="D357" s="6" t="s">
        <v>1227</v>
      </c>
      <c r="E357" s="6" t="s">
        <v>1228</v>
      </c>
      <c r="F357" s="9">
        <v>45693</v>
      </c>
      <c r="G357" s="9">
        <v>45723</v>
      </c>
      <c r="H357" s="12">
        <v>-7</v>
      </c>
      <c r="I357" s="11">
        <v>445.5</v>
      </c>
      <c r="J357" s="6" t="s">
        <v>22</v>
      </c>
      <c r="K357" s="6" t="s">
        <v>21</v>
      </c>
      <c r="L357" s="6" t="s">
        <v>21</v>
      </c>
      <c r="M357" s="2" t="str">
        <f t="shared" si="5"/>
        <v/>
      </c>
    </row>
    <row r="358" spans="1:13" x14ac:dyDescent="0.25">
      <c r="A358" s="6" t="s">
        <v>118</v>
      </c>
      <c r="B358" s="6" t="s">
        <v>119</v>
      </c>
      <c r="C358" s="6" t="s">
        <v>120</v>
      </c>
      <c r="D358" s="6" t="s">
        <v>1229</v>
      </c>
      <c r="E358" s="6" t="s">
        <v>1230</v>
      </c>
      <c r="F358" s="9">
        <v>45693</v>
      </c>
      <c r="G358" s="9">
        <v>45723</v>
      </c>
      <c r="H358" s="12">
        <v>-7</v>
      </c>
      <c r="I358" s="11">
        <v>249</v>
      </c>
      <c r="J358" s="6" t="s">
        <v>22</v>
      </c>
      <c r="K358" s="6" t="s">
        <v>21</v>
      </c>
      <c r="L358" s="6" t="s">
        <v>21</v>
      </c>
      <c r="M358" s="2" t="str">
        <f t="shared" si="5"/>
        <v/>
      </c>
    </row>
    <row r="359" spans="1:13" x14ac:dyDescent="0.25">
      <c r="A359" s="6" t="s">
        <v>118</v>
      </c>
      <c r="B359" s="6" t="s">
        <v>119</v>
      </c>
      <c r="C359" s="6" t="s">
        <v>120</v>
      </c>
      <c r="D359" s="6" t="s">
        <v>1231</v>
      </c>
      <c r="E359" s="6" t="s">
        <v>1232</v>
      </c>
      <c r="F359" s="9">
        <v>45693</v>
      </c>
      <c r="G359" s="9">
        <v>45723</v>
      </c>
      <c r="H359" s="12">
        <v>-7</v>
      </c>
      <c r="I359" s="11">
        <v>672</v>
      </c>
      <c r="J359" s="6" t="s">
        <v>22</v>
      </c>
      <c r="K359" s="6" t="s">
        <v>21</v>
      </c>
      <c r="L359" s="6" t="s">
        <v>21</v>
      </c>
      <c r="M359" s="2" t="str">
        <f t="shared" si="5"/>
        <v/>
      </c>
    </row>
    <row r="360" spans="1:13" x14ac:dyDescent="0.25">
      <c r="A360" s="6" t="s">
        <v>118</v>
      </c>
      <c r="B360" s="6" t="s">
        <v>119</v>
      </c>
      <c r="C360" s="6" t="s">
        <v>120</v>
      </c>
      <c r="D360" s="6" t="s">
        <v>1233</v>
      </c>
      <c r="E360" s="6" t="s">
        <v>1234</v>
      </c>
      <c r="F360" s="9">
        <v>45693</v>
      </c>
      <c r="G360" s="9">
        <v>45723</v>
      </c>
      <c r="H360" s="12">
        <v>-7</v>
      </c>
      <c r="I360" s="11">
        <v>162</v>
      </c>
      <c r="J360" s="6" t="s">
        <v>22</v>
      </c>
      <c r="K360" s="6" t="s">
        <v>21</v>
      </c>
      <c r="L360" s="6" t="s">
        <v>21</v>
      </c>
      <c r="M360" s="2" t="str">
        <f t="shared" si="5"/>
        <v/>
      </c>
    </row>
    <row r="361" spans="1:13" x14ac:dyDescent="0.25">
      <c r="A361" s="6" t="s">
        <v>118</v>
      </c>
      <c r="B361" s="6" t="s">
        <v>119</v>
      </c>
      <c r="C361" s="6" t="s">
        <v>120</v>
      </c>
      <c r="D361" s="6" t="s">
        <v>1235</v>
      </c>
      <c r="E361" s="6" t="s">
        <v>1236</v>
      </c>
      <c r="F361" s="9">
        <v>45693</v>
      </c>
      <c r="G361" s="9">
        <v>45723</v>
      </c>
      <c r="H361" s="12">
        <v>-7</v>
      </c>
      <c r="I361" s="11">
        <v>957.6</v>
      </c>
      <c r="J361" s="6" t="s">
        <v>22</v>
      </c>
      <c r="K361" s="6" t="s">
        <v>21</v>
      </c>
      <c r="L361" s="6" t="s">
        <v>21</v>
      </c>
      <c r="M361" s="2" t="str">
        <f t="shared" si="5"/>
        <v/>
      </c>
    </row>
    <row r="362" spans="1:13" x14ac:dyDescent="0.25">
      <c r="A362" s="6" t="s">
        <v>118</v>
      </c>
      <c r="B362" s="6" t="s">
        <v>119</v>
      </c>
      <c r="C362" s="6" t="s">
        <v>120</v>
      </c>
      <c r="D362" s="6" t="s">
        <v>1237</v>
      </c>
      <c r="E362" s="6" t="s">
        <v>1238</v>
      </c>
      <c r="F362" s="9">
        <v>45693</v>
      </c>
      <c r="G362" s="9">
        <v>45723</v>
      </c>
      <c r="H362" s="12">
        <v>-7</v>
      </c>
      <c r="I362" s="11">
        <v>367.5</v>
      </c>
      <c r="J362" s="6" t="s">
        <v>22</v>
      </c>
      <c r="K362" s="6" t="s">
        <v>21</v>
      </c>
      <c r="L362" s="6" t="s">
        <v>21</v>
      </c>
      <c r="M362" s="2" t="str">
        <f t="shared" si="5"/>
        <v/>
      </c>
    </row>
    <row r="363" spans="1:13" x14ac:dyDescent="0.25">
      <c r="A363" s="6" t="s">
        <v>118</v>
      </c>
      <c r="B363" s="6" t="s">
        <v>119</v>
      </c>
      <c r="C363" s="6" t="s">
        <v>120</v>
      </c>
      <c r="D363" s="6" t="s">
        <v>1239</v>
      </c>
      <c r="E363" s="6" t="s">
        <v>1240</v>
      </c>
      <c r="F363" s="9">
        <v>45693</v>
      </c>
      <c r="G363" s="9">
        <v>45723</v>
      </c>
      <c r="H363" s="12">
        <v>-7</v>
      </c>
      <c r="I363" s="11">
        <v>2112</v>
      </c>
      <c r="J363" s="6" t="s">
        <v>22</v>
      </c>
      <c r="K363" s="6" t="s">
        <v>21</v>
      </c>
      <c r="L363" s="6" t="s">
        <v>21</v>
      </c>
      <c r="M363" s="2" t="str">
        <f t="shared" si="5"/>
        <v/>
      </c>
    </row>
    <row r="364" spans="1:13" x14ac:dyDescent="0.25">
      <c r="A364" s="6" t="s">
        <v>118</v>
      </c>
      <c r="B364" s="6" t="s">
        <v>119</v>
      </c>
      <c r="C364" s="6" t="s">
        <v>120</v>
      </c>
      <c r="D364" s="6" t="s">
        <v>1241</v>
      </c>
      <c r="E364" s="6" t="s">
        <v>1242</v>
      </c>
      <c r="F364" s="9">
        <v>45693</v>
      </c>
      <c r="G364" s="9">
        <v>45723</v>
      </c>
      <c r="H364" s="12">
        <v>-7</v>
      </c>
      <c r="I364" s="11">
        <v>29.7</v>
      </c>
      <c r="J364" s="6" t="s">
        <v>22</v>
      </c>
      <c r="K364" s="6" t="s">
        <v>21</v>
      </c>
      <c r="L364" s="6" t="s">
        <v>21</v>
      </c>
      <c r="M364" s="2" t="str">
        <f t="shared" si="5"/>
        <v/>
      </c>
    </row>
    <row r="365" spans="1:13" x14ac:dyDescent="0.25">
      <c r="A365" s="6" t="s">
        <v>118</v>
      </c>
      <c r="B365" s="6" t="s">
        <v>119</v>
      </c>
      <c r="C365" s="6" t="s">
        <v>120</v>
      </c>
      <c r="D365" s="6" t="s">
        <v>1243</v>
      </c>
      <c r="E365" s="6" t="s">
        <v>1244</v>
      </c>
      <c r="F365" s="9">
        <v>45693</v>
      </c>
      <c r="G365" s="9">
        <v>45723</v>
      </c>
      <c r="H365" s="12">
        <v>-7</v>
      </c>
      <c r="I365" s="11">
        <v>162</v>
      </c>
      <c r="J365" s="6" t="s">
        <v>22</v>
      </c>
      <c r="K365" s="6" t="s">
        <v>21</v>
      </c>
      <c r="L365" s="6" t="s">
        <v>21</v>
      </c>
      <c r="M365" s="2" t="str">
        <f t="shared" si="5"/>
        <v/>
      </c>
    </row>
    <row r="366" spans="1:13" x14ac:dyDescent="0.25">
      <c r="A366" s="6" t="s">
        <v>118</v>
      </c>
      <c r="B366" s="6" t="s">
        <v>119</v>
      </c>
      <c r="C366" s="6" t="s">
        <v>120</v>
      </c>
      <c r="D366" s="6" t="s">
        <v>1245</v>
      </c>
      <c r="E366" s="6" t="s">
        <v>1246</v>
      </c>
      <c r="F366" s="9">
        <v>45693</v>
      </c>
      <c r="G366" s="9">
        <v>45723</v>
      </c>
      <c r="H366" s="12">
        <v>-7</v>
      </c>
      <c r="I366" s="11">
        <v>40.5</v>
      </c>
      <c r="J366" s="6" t="s">
        <v>22</v>
      </c>
      <c r="K366" s="6" t="s">
        <v>21</v>
      </c>
      <c r="L366" s="6" t="s">
        <v>21</v>
      </c>
      <c r="M366" s="2" t="str">
        <f t="shared" si="5"/>
        <v/>
      </c>
    </row>
    <row r="367" spans="1:13" x14ac:dyDescent="0.25">
      <c r="A367" s="6" t="s">
        <v>118</v>
      </c>
      <c r="B367" s="6" t="s">
        <v>119</v>
      </c>
      <c r="C367" s="6" t="s">
        <v>120</v>
      </c>
      <c r="D367" s="6" t="s">
        <v>1247</v>
      </c>
      <c r="E367" s="6" t="s">
        <v>1248</v>
      </c>
      <c r="F367" s="9">
        <v>45693</v>
      </c>
      <c r="G367" s="9">
        <v>45723</v>
      </c>
      <c r="H367" s="12">
        <v>-7</v>
      </c>
      <c r="I367" s="11">
        <v>86.26</v>
      </c>
      <c r="J367" s="6" t="s">
        <v>22</v>
      </c>
      <c r="K367" s="6" t="s">
        <v>21</v>
      </c>
      <c r="L367" s="6" t="s">
        <v>21</v>
      </c>
      <c r="M367" s="2" t="str">
        <f t="shared" si="5"/>
        <v/>
      </c>
    </row>
    <row r="368" spans="1:13" x14ac:dyDescent="0.25">
      <c r="A368" s="6" t="s">
        <v>118</v>
      </c>
      <c r="B368" s="6" t="s">
        <v>119</v>
      </c>
      <c r="C368" s="6" t="s">
        <v>120</v>
      </c>
      <c r="D368" s="6" t="s">
        <v>1249</v>
      </c>
      <c r="E368" s="6" t="s">
        <v>1250</v>
      </c>
      <c r="F368" s="9">
        <v>45693</v>
      </c>
      <c r="G368" s="9">
        <v>45723</v>
      </c>
      <c r="H368" s="12">
        <v>-7</v>
      </c>
      <c r="I368" s="11">
        <v>81</v>
      </c>
      <c r="J368" s="6" t="s">
        <v>22</v>
      </c>
      <c r="K368" s="6" t="s">
        <v>21</v>
      </c>
      <c r="L368" s="6" t="s">
        <v>21</v>
      </c>
      <c r="M368" s="2" t="str">
        <f t="shared" si="5"/>
        <v/>
      </c>
    </row>
    <row r="369" spans="1:13" x14ac:dyDescent="0.25">
      <c r="A369" s="6" t="s">
        <v>118</v>
      </c>
      <c r="B369" s="6" t="s">
        <v>119</v>
      </c>
      <c r="C369" s="6" t="s">
        <v>120</v>
      </c>
      <c r="D369" s="6" t="s">
        <v>1251</v>
      </c>
      <c r="E369" s="6" t="s">
        <v>1252</v>
      </c>
      <c r="F369" s="9">
        <v>45693</v>
      </c>
      <c r="G369" s="9">
        <v>45723</v>
      </c>
      <c r="H369" s="12">
        <v>-7</v>
      </c>
      <c r="I369" s="11">
        <v>162</v>
      </c>
      <c r="J369" s="6" t="s">
        <v>22</v>
      </c>
      <c r="K369" s="6" t="s">
        <v>21</v>
      </c>
      <c r="L369" s="6" t="s">
        <v>21</v>
      </c>
      <c r="M369" s="2" t="str">
        <f t="shared" si="5"/>
        <v/>
      </c>
    </row>
    <row r="370" spans="1:13" x14ac:dyDescent="0.25">
      <c r="A370" s="6" t="s">
        <v>118</v>
      </c>
      <c r="B370" s="6" t="s">
        <v>119</v>
      </c>
      <c r="C370" s="6" t="s">
        <v>120</v>
      </c>
      <c r="D370" s="6" t="s">
        <v>1253</v>
      </c>
      <c r="E370" s="6" t="s">
        <v>1254</v>
      </c>
      <c r="F370" s="9">
        <v>45693</v>
      </c>
      <c r="G370" s="9">
        <v>45723</v>
      </c>
      <c r="H370" s="12">
        <v>-7</v>
      </c>
      <c r="I370" s="11">
        <v>81</v>
      </c>
      <c r="J370" s="6" t="s">
        <v>22</v>
      </c>
      <c r="K370" s="6" t="s">
        <v>21</v>
      </c>
      <c r="L370" s="6" t="s">
        <v>21</v>
      </c>
      <c r="M370" s="2" t="str">
        <f t="shared" si="5"/>
        <v/>
      </c>
    </row>
    <row r="371" spans="1:13" x14ac:dyDescent="0.25">
      <c r="A371" s="6" t="s">
        <v>118</v>
      </c>
      <c r="B371" s="6" t="s">
        <v>119</v>
      </c>
      <c r="C371" s="6" t="s">
        <v>120</v>
      </c>
      <c r="D371" s="6" t="s">
        <v>1255</v>
      </c>
      <c r="E371" s="6" t="s">
        <v>1256</v>
      </c>
      <c r="F371" s="9">
        <v>45693</v>
      </c>
      <c r="G371" s="9">
        <v>45723</v>
      </c>
      <c r="H371" s="12">
        <v>-7</v>
      </c>
      <c r="I371" s="11">
        <v>1513.8</v>
      </c>
      <c r="J371" s="6" t="s">
        <v>22</v>
      </c>
      <c r="K371" s="6" t="s">
        <v>21</v>
      </c>
      <c r="L371" s="6" t="s">
        <v>21</v>
      </c>
      <c r="M371" s="2" t="str">
        <f t="shared" si="5"/>
        <v/>
      </c>
    </row>
    <row r="372" spans="1:13" x14ac:dyDescent="0.25">
      <c r="A372" s="6" t="s">
        <v>118</v>
      </c>
      <c r="B372" s="6" t="s">
        <v>119</v>
      </c>
      <c r="C372" s="6" t="s">
        <v>120</v>
      </c>
      <c r="D372" s="6" t="s">
        <v>1257</v>
      </c>
      <c r="E372" s="6" t="s">
        <v>1258</v>
      </c>
      <c r="F372" s="9">
        <v>45693</v>
      </c>
      <c r="G372" s="9">
        <v>45723</v>
      </c>
      <c r="H372" s="12">
        <v>-7</v>
      </c>
      <c r="I372" s="11">
        <v>294</v>
      </c>
      <c r="J372" s="6" t="s">
        <v>22</v>
      </c>
      <c r="K372" s="6" t="s">
        <v>21</v>
      </c>
      <c r="L372" s="6" t="s">
        <v>21</v>
      </c>
      <c r="M372" s="2" t="str">
        <f t="shared" si="5"/>
        <v/>
      </c>
    </row>
    <row r="373" spans="1:13" x14ac:dyDescent="0.25">
      <c r="A373" s="6" t="s">
        <v>118</v>
      </c>
      <c r="B373" s="6" t="s">
        <v>119</v>
      </c>
      <c r="C373" s="6" t="s">
        <v>120</v>
      </c>
      <c r="D373" s="6" t="s">
        <v>1259</v>
      </c>
      <c r="E373" s="6" t="s">
        <v>1260</v>
      </c>
      <c r="F373" s="9">
        <v>45693</v>
      </c>
      <c r="G373" s="9">
        <v>45723</v>
      </c>
      <c r="H373" s="12">
        <v>-7</v>
      </c>
      <c r="I373" s="11">
        <v>729</v>
      </c>
      <c r="J373" s="6" t="s">
        <v>22</v>
      </c>
      <c r="K373" s="6" t="s">
        <v>21</v>
      </c>
      <c r="L373" s="6" t="s">
        <v>21</v>
      </c>
      <c r="M373" s="2" t="str">
        <f t="shared" si="5"/>
        <v/>
      </c>
    </row>
    <row r="374" spans="1:13" x14ac:dyDescent="0.25">
      <c r="A374" s="6" t="s">
        <v>118</v>
      </c>
      <c r="B374" s="6" t="s">
        <v>119</v>
      </c>
      <c r="C374" s="6" t="s">
        <v>120</v>
      </c>
      <c r="D374" s="6" t="s">
        <v>1261</v>
      </c>
      <c r="E374" s="6" t="s">
        <v>1262</v>
      </c>
      <c r="F374" s="9">
        <v>45693</v>
      </c>
      <c r="G374" s="9">
        <v>45723</v>
      </c>
      <c r="H374" s="12">
        <v>-7</v>
      </c>
      <c r="I374" s="11">
        <v>123</v>
      </c>
      <c r="J374" s="6" t="s">
        <v>22</v>
      </c>
      <c r="K374" s="6" t="s">
        <v>21</v>
      </c>
      <c r="L374" s="6" t="s">
        <v>21</v>
      </c>
      <c r="M374" s="2" t="str">
        <f t="shared" si="5"/>
        <v/>
      </c>
    </row>
    <row r="375" spans="1:13" x14ac:dyDescent="0.25">
      <c r="A375" s="6" t="s">
        <v>118</v>
      </c>
      <c r="B375" s="6" t="s">
        <v>119</v>
      </c>
      <c r="C375" s="6" t="s">
        <v>120</v>
      </c>
      <c r="D375" s="6" t="s">
        <v>1263</v>
      </c>
      <c r="E375" s="6" t="s">
        <v>1264</v>
      </c>
      <c r="F375" s="9">
        <v>45693</v>
      </c>
      <c r="G375" s="9">
        <v>45723</v>
      </c>
      <c r="H375" s="12">
        <v>-7</v>
      </c>
      <c r="I375" s="11">
        <v>128.26</v>
      </c>
      <c r="J375" s="6" t="s">
        <v>22</v>
      </c>
      <c r="K375" s="6" t="s">
        <v>21</v>
      </c>
      <c r="L375" s="6" t="s">
        <v>21</v>
      </c>
      <c r="M375" s="2" t="str">
        <f t="shared" si="5"/>
        <v/>
      </c>
    </row>
    <row r="376" spans="1:13" x14ac:dyDescent="0.25">
      <c r="A376" s="6" t="s">
        <v>118</v>
      </c>
      <c r="B376" s="6" t="s">
        <v>119</v>
      </c>
      <c r="C376" s="6" t="s">
        <v>120</v>
      </c>
      <c r="D376" s="6" t="s">
        <v>1265</v>
      </c>
      <c r="E376" s="6" t="s">
        <v>1266</v>
      </c>
      <c r="F376" s="9">
        <v>45693</v>
      </c>
      <c r="G376" s="9">
        <v>45723</v>
      </c>
      <c r="H376" s="12">
        <v>-7</v>
      </c>
      <c r="I376" s="11">
        <v>87</v>
      </c>
      <c r="J376" s="6" t="s">
        <v>22</v>
      </c>
      <c r="K376" s="6" t="s">
        <v>21</v>
      </c>
      <c r="L376" s="6" t="s">
        <v>21</v>
      </c>
      <c r="M376" s="2" t="str">
        <f t="shared" si="5"/>
        <v/>
      </c>
    </row>
    <row r="377" spans="1:13" x14ac:dyDescent="0.25">
      <c r="A377" s="6" t="s">
        <v>118</v>
      </c>
      <c r="B377" s="6" t="s">
        <v>119</v>
      </c>
      <c r="C377" s="6" t="s">
        <v>120</v>
      </c>
      <c r="D377" s="6" t="s">
        <v>1267</v>
      </c>
      <c r="E377" s="6" t="s">
        <v>1268</v>
      </c>
      <c r="F377" s="9">
        <v>45693</v>
      </c>
      <c r="G377" s="9">
        <v>45723</v>
      </c>
      <c r="H377" s="12">
        <v>-7</v>
      </c>
      <c r="I377" s="11">
        <v>7.5</v>
      </c>
      <c r="J377" s="6" t="s">
        <v>22</v>
      </c>
      <c r="K377" s="6" t="s">
        <v>21</v>
      </c>
      <c r="L377" s="6" t="s">
        <v>21</v>
      </c>
      <c r="M377" s="2" t="str">
        <f t="shared" si="5"/>
        <v/>
      </c>
    </row>
    <row r="378" spans="1:13" x14ac:dyDescent="0.25">
      <c r="A378" s="6" t="s">
        <v>118</v>
      </c>
      <c r="B378" s="6" t="s">
        <v>119</v>
      </c>
      <c r="C378" s="6" t="s">
        <v>120</v>
      </c>
      <c r="D378" s="6" t="s">
        <v>1269</v>
      </c>
      <c r="E378" s="6" t="s">
        <v>1270</v>
      </c>
      <c r="F378" s="9">
        <v>45693</v>
      </c>
      <c r="G378" s="9">
        <v>45723</v>
      </c>
      <c r="H378" s="12">
        <v>-7</v>
      </c>
      <c r="I378" s="11">
        <v>280.8</v>
      </c>
      <c r="J378" s="6" t="s">
        <v>22</v>
      </c>
      <c r="K378" s="6" t="s">
        <v>21</v>
      </c>
      <c r="L378" s="6" t="s">
        <v>21</v>
      </c>
      <c r="M378" s="2" t="str">
        <f t="shared" si="5"/>
        <v/>
      </c>
    </row>
    <row r="379" spans="1:13" x14ac:dyDescent="0.25">
      <c r="A379" s="6" t="s">
        <v>118</v>
      </c>
      <c r="B379" s="6" t="s">
        <v>119</v>
      </c>
      <c r="C379" s="6" t="s">
        <v>120</v>
      </c>
      <c r="D379" s="6" t="s">
        <v>1271</v>
      </c>
      <c r="E379" s="6" t="s">
        <v>1272</v>
      </c>
      <c r="F379" s="9">
        <v>45693</v>
      </c>
      <c r="G379" s="9">
        <v>45723</v>
      </c>
      <c r="H379" s="12">
        <v>-7</v>
      </c>
      <c r="I379" s="11">
        <v>81</v>
      </c>
      <c r="J379" s="6" t="s">
        <v>22</v>
      </c>
      <c r="K379" s="6" t="s">
        <v>21</v>
      </c>
      <c r="L379" s="6" t="s">
        <v>21</v>
      </c>
      <c r="M379" s="2" t="str">
        <f t="shared" si="5"/>
        <v/>
      </c>
    </row>
    <row r="380" spans="1:13" x14ac:dyDescent="0.25">
      <c r="A380" s="6" t="s">
        <v>118</v>
      </c>
      <c r="B380" s="6" t="s">
        <v>119</v>
      </c>
      <c r="C380" s="6" t="s">
        <v>120</v>
      </c>
      <c r="D380" s="6" t="s">
        <v>1273</v>
      </c>
      <c r="E380" s="6" t="s">
        <v>1274</v>
      </c>
      <c r="F380" s="9">
        <v>45693</v>
      </c>
      <c r="G380" s="9">
        <v>45723</v>
      </c>
      <c r="H380" s="12">
        <v>-7</v>
      </c>
      <c r="I380" s="11">
        <v>52.5</v>
      </c>
      <c r="J380" s="6" t="s">
        <v>22</v>
      </c>
      <c r="K380" s="6" t="s">
        <v>21</v>
      </c>
      <c r="L380" s="6" t="s">
        <v>21</v>
      </c>
      <c r="M380" s="2" t="str">
        <f t="shared" si="5"/>
        <v/>
      </c>
    </row>
    <row r="381" spans="1:13" x14ac:dyDescent="0.25">
      <c r="A381" s="6" t="s">
        <v>118</v>
      </c>
      <c r="B381" s="6" t="s">
        <v>119</v>
      </c>
      <c r="C381" s="6" t="s">
        <v>120</v>
      </c>
      <c r="D381" s="6" t="s">
        <v>1275</v>
      </c>
      <c r="E381" s="6" t="s">
        <v>1276</v>
      </c>
      <c r="F381" s="9">
        <v>45693</v>
      </c>
      <c r="G381" s="9">
        <v>45723</v>
      </c>
      <c r="H381" s="12">
        <v>-7</v>
      </c>
      <c r="I381" s="11">
        <v>123</v>
      </c>
      <c r="J381" s="6" t="s">
        <v>22</v>
      </c>
      <c r="K381" s="6" t="s">
        <v>21</v>
      </c>
      <c r="L381" s="6" t="s">
        <v>21</v>
      </c>
      <c r="M381" s="2" t="str">
        <f t="shared" si="5"/>
        <v/>
      </c>
    </row>
    <row r="382" spans="1:13" x14ac:dyDescent="0.25">
      <c r="A382" s="6" t="s">
        <v>118</v>
      </c>
      <c r="B382" s="6" t="s">
        <v>119</v>
      </c>
      <c r="C382" s="6" t="s">
        <v>120</v>
      </c>
      <c r="D382" s="6" t="s">
        <v>1277</v>
      </c>
      <c r="E382" s="6" t="s">
        <v>1278</v>
      </c>
      <c r="F382" s="9">
        <v>45693</v>
      </c>
      <c r="G382" s="9">
        <v>45723</v>
      </c>
      <c r="H382" s="12">
        <v>-7</v>
      </c>
      <c r="I382" s="11">
        <v>7.5</v>
      </c>
      <c r="J382" s="6" t="s">
        <v>22</v>
      </c>
      <c r="K382" s="6" t="s">
        <v>21</v>
      </c>
      <c r="L382" s="6" t="s">
        <v>21</v>
      </c>
      <c r="M382" s="2" t="str">
        <f t="shared" si="5"/>
        <v/>
      </c>
    </row>
    <row r="383" spans="1:13" x14ac:dyDescent="0.25">
      <c r="A383" s="6" t="s">
        <v>118</v>
      </c>
      <c r="B383" s="6" t="s">
        <v>119</v>
      </c>
      <c r="C383" s="6" t="s">
        <v>120</v>
      </c>
      <c r="D383" s="6" t="s">
        <v>1279</v>
      </c>
      <c r="E383" s="6" t="s">
        <v>1280</v>
      </c>
      <c r="F383" s="9">
        <v>45693</v>
      </c>
      <c r="G383" s="9">
        <v>45723</v>
      </c>
      <c r="H383" s="12">
        <v>-7</v>
      </c>
      <c r="I383" s="11">
        <v>123</v>
      </c>
      <c r="J383" s="6" t="s">
        <v>22</v>
      </c>
      <c r="K383" s="6" t="s">
        <v>21</v>
      </c>
      <c r="L383" s="6" t="s">
        <v>21</v>
      </c>
      <c r="M383" s="2" t="str">
        <f t="shared" si="5"/>
        <v/>
      </c>
    </row>
    <row r="384" spans="1:13" x14ac:dyDescent="0.25">
      <c r="A384" s="6" t="s">
        <v>118</v>
      </c>
      <c r="B384" s="6" t="s">
        <v>119</v>
      </c>
      <c r="C384" s="6" t="s">
        <v>120</v>
      </c>
      <c r="D384" s="6" t="s">
        <v>1281</v>
      </c>
      <c r="E384" s="6" t="s">
        <v>1282</v>
      </c>
      <c r="F384" s="9">
        <v>45693</v>
      </c>
      <c r="G384" s="9">
        <v>45723</v>
      </c>
      <c r="H384" s="12">
        <v>-7</v>
      </c>
      <c r="I384" s="11">
        <v>81</v>
      </c>
      <c r="J384" s="6" t="s">
        <v>22</v>
      </c>
      <c r="K384" s="6" t="s">
        <v>21</v>
      </c>
      <c r="L384" s="6" t="s">
        <v>21</v>
      </c>
      <c r="M384" s="2" t="str">
        <f t="shared" si="5"/>
        <v/>
      </c>
    </row>
    <row r="385" spans="1:13" x14ac:dyDescent="0.25">
      <c r="A385" s="6" t="s">
        <v>118</v>
      </c>
      <c r="B385" s="6" t="s">
        <v>119</v>
      </c>
      <c r="C385" s="6" t="s">
        <v>120</v>
      </c>
      <c r="D385" s="6" t="s">
        <v>1283</v>
      </c>
      <c r="E385" s="6" t="s">
        <v>1284</v>
      </c>
      <c r="F385" s="9">
        <v>45693</v>
      </c>
      <c r="G385" s="9">
        <v>45723</v>
      </c>
      <c r="H385" s="12">
        <v>-7</v>
      </c>
      <c r="I385" s="11">
        <v>86.26</v>
      </c>
      <c r="J385" s="6" t="s">
        <v>22</v>
      </c>
      <c r="K385" s="6" t="s">
        <v>21</v>
      </c>
      <c r="L385" s="6" t="s">
        <v>21</v>
      </c>
      <c r="M385" s="2" t="str">
        <f t="shared" si="5"/>
        <v/>
      </c>
    </row>
    <row r="386" spans="1:13" x14ac:dyDescent="0.25">
      <c r="A386" s="6" t="s">
        <v>118</v>
      </c>
      <c r="B386" s="6" t="s">
        <v>119</v>
      </c>
      <c r="C386" s="6" t="s">
        <v>120</v>
      </c>
      <c r="D386" s="6" t="s">
        <v>1285</v>
      </c>
      <c r="E386" s="6" t="s">
        <v>1286</v>
      </c>
      <c r="F386" s="9">
        <v>45693</v>
      </c>
      <c r="G386" s="9">
        <v>45723</v>
      </c>
      <c r="H386" s="12">
        <v>-7</v>
      </c>
      <c r="I386" s="11">
        <v>90</v>
      </c>
      <c r="J386" s="6" t="s">
        <v>22</v>
      </c>
      <c r="K386" s="6" t="s">
        <v>21</v>
      </c>
      <c r="L386" s="6" t="s">
        <v>21</v>
      </c>
      <c r="M386" s="2" t="str">
        <f t="shared" si="5"/>
        <v/>
      </c>
    </row>
    <row r="387" spans="1:13" x14ac:dyDescent="0.25">
      <c r="A387" s="6" t="s">
        <v>118</v>
      </c>
      <c r="B387" s="6" t="s">
        <v>119</v>
      </c>
      <c r="C387" s="6" t="s">
        <v>120</v>
      </c>
      <c r="D387" s="6" t="s">
        <v>1287</v>
      </c>
      <c r="E387" s="6" t="s">
        <v>1288</v>
      </c>
      <c r="F387" s="9">
        <v>45693</v>
      </c>
      <c r="G387" s="9">
        <v>45723</v>
      </c>
      <c r="H387" s="12">
        <v>-7</v>
      </c>
      <c r="I387" s="11">
        <v>40.5</v>
      </c>
      <c r="J387" s="6" t="s">
        <v>22</v>
      </c>
      <c r="K387" s="6" t="s">
        <v>21</v>
      </c>
      <c r="L387" s="6" t="s">
        <v>21</v>
      </c>
      <c r="M387" s="2" t="str">
        <f t="shared" ref="M387:M450" si="6">IF(H387&gt;0,I387,"")</f>
        <v/>
      </c>
    </row>
    <row r="388" spans="1:13" x14ac:dyDescent="0.25">
      <c r="A388" s="6" t="s">
        <v>118</v>
      </c>
      <c r="B388" s="6" t="s">
        <v>119</v>
      </c>
      <c r="C388" s="6" t="s">
        <v>120</v>
      </c>
      <c r="D388" s="6" t="s">
        <v>1289</v>
      </c>
      <c r="E388" s="6" t="s">
        <v>1290</v>
      </c>
      <c r="F388" s="9">
        <v>45693</v>
      </c>
      <c r="G388" s="9">
        <v>45723</v>
      </c>
      <c r="H388" s="12">
        <v>-7</v>
      </c>
      <c r="I388" s="11">
        <v>123</v>
      </c>
      <c r="J388" s="6" t="s">
        <v>22</v>
      </c>
      <c r="K388" s="6" t="s">
        <v>21</v>
      </c>
      <c r="L388" s="6" t="s">
        <v>21</v>
      </c>
      <c r="M388" s="2" t="str">
        <f t="shared" si="6"/>
        <v/>
      </c>
    </row>
    <row r="389" spans="1:13" x14ac:dyDescent="0.25">
      <c r="A389" s="6" t="s">
        <v>118</v>
      </c>
      <c r="B389" s="6" t="s">
        <v>119</v>
      </c>
      <c r="C389" s="6" t="s">
        <v>120</v>
      </c>
      <c r="D389" s="6" t="s">
        <v>1291</v>
      </c>
      <c r="E389" s="6" t="s">
        <v>1292</v>
      </c>
      <c r="F389" s="9">
        <v>45693</v>
      </c>
      <c r="G389" s="9">
        <v>45723</v>
      </c>
      <c r="H389" s="12">
        <v>-7</v>
      </c>
      <c r="I389" s="11">
        <v>81</v>
      </c>
      <c r="J389" s="6" t="s">
        <v>22</v>
      </c>
      <c r="K389" s="6" t="s">
        <v>21</v>
      </c>
      <c r="L389" s="6" t="s">
        <v>21</v>
      </c>
      <c r="M389" s="2" t="str">
        <f t="shared" si="6"/>
        <v/>
      </c>
    </row>
    <row r="390" spans="1:13" x14ac:dyDescent="0.25">
      <c r="A390" s="6" t="s">
        <v>118</v>
      </c>
      <c r="B390" s="6" t="s">
        <v>119</v>
      </c>
      <c r="C390" s="6" t="s">
        <v>120</v>
      </c>
      <c r="D390" s="6" t="s">
        <v>1293</v>
      </c>
      <c r="E390" s="6" t="s">
        <v>1294</v>
      </c>
      <c r="F390" s="9">
        <v>45693</v>
      </c>
      <c r="G390" s="9">
        <v>45723</v>
      </c>
      <c r="H390" s="12">
        <v>-7</v>
      </c>
      <c r="I390" s="11">
        <v>68.400000000000006</v>
      </c>
      <c r="J390" s="6" t="s">
        <v>22</v>
      </c>
      <c r="K390" s="6" t="s">
        <v>21</v>
      </c>
      <c r="L390" s="6" t="s">
        <v>21</v>
      </c>
      <c r="M390" s="2" t="str">
        <f t="shared" si="6"/>
        <v/>
      </c>
    </row>
    <row r="391" spans="1:13" x14ac:dyDescent="0.25">
      <c r="A391" s="6" t="s">
        <v>118</v>
      </c>
      <c r="B391" s="6" t="s">
        <v>119</v>
      </c>
      <c r="C391" s="6" t="s">
        <v>120</v>
      </c>
      <c r="D391" s="6" t="s">
        <v>1295</v>
      </c>
      <c r="E391" s="6" t="s">
        <v>1296</v>
      </c>
      <c r="F391" s="9">
        <v>45693</v>
      </c>
      <c r="G391" s="9">
        <v>45723</v>
      </c>
      <c r="H391" s="12">
        <v>-7</v>
      </c>
      <c r="I391" s="11">
        <v>34.200000000000003</v>
      </c>
      <c r="J391" s="6" t="s">
        <v>22</v>
      </c>
      <c r="K391" s="6" t="s">
        <v>21</v>
      </c>
      <c r="L391" s="6" t="s">
        <v>21</v>
      </c>
      <c r="M391" s="2" t="str">
        <f t="shared" si="6"/>
        <v/>
      </c>
    </row>
    <row r="392" spans="1:13" x14ac:dyDescent="0.25">
      <c r="A392" s="6" t="s">
        <v>118</v>
      </c>
      <c r="B392" s="6" t="s">
        <v>119</v>
      </c>
      <c r="C392" s="6" t="s">
        <v>120</v>
      </c>
      <c r="D392" s="6" t="s">
        <v>1297</v>
      </c>
      <c r="E392" s="6" t="s">
        <v>1298</v>
      </c>
      <c r="F392" s="9">
        <v>45693</v>
      </c>
      <c r="G392" s="9">
        <v>45723</v>
      </c>
      <c r="H392" s="12">
        <v>-7</v>
      </c>
      <c r="I392" s="11">
        <v>42</v>
      </c>
      <c r="J392" s="6" t="s">
        <v>22</v>
      </c>
      <c r="K392" s="6" t="s">
        <v>21</v>
      </c>
      <c r="L392" s="6" t="s">
        <v>21</v>
      </c>
      <c r="M392" s="2" t="str">
        <f t="shared" si="6"/>
        <v/>
      </c>
    </row>
    <row r="393" spans="1:13" x14ac:dyDescent="0.25">
      <c r="A393" s="6" t="s">
        <v>118</v>
      </c>
      <c r="B393" s="6" t="s">
        <v>119</v>
      </c>
      <c r="C393" s="6" t="s">
        <v>120</v>
      </c>
      <c r="D393" s="6" t="s">
        <v>1299</v>
      </c>
      <c r="E393" s="6" t="s">
        <v>1300</v>
      </c>
      <c r="F393" s="9">
        <v>45693</v>
      </c>
      <c r="G393" s="9">
        <v>45723</v>
      </c>
      <c r="H393" s="12">
        <v>-7</v>
      </c>
      <c r="I393" s="11">
        <v>28</v>
      </c>
      <c r="J393" s="6" t="s">
        <v>22</v>
      </c>
      <c r="K393" s="6" t="s">
        <v>21</v>
      </c>
      <c r="L393" s="6" t="s">
        <v>21</v>
      </c>
      <c r="M393" s="2" t="str">
        <f t="shared" si="6"/>
        <v/>
      </c>
    </row>
    <row r="394" spans="1:13" x14ac:dyDescent="0.25">
      <c r="A394" s="6" t="s">
        <v>118</v>
      </c>
      <c r="B394" s="6" t="s">
        <v>119</v>
      </c>
      <c r="C394" s="6" t="s">
        <v>120</v>
      </c>
      <c r="D394" s="6" t="s">
        <v>1301</v>
      </c>
      <c r="E394" s="6" t="s">
        <v>1302</v>
      </c>
      <c r="F394" s="9">
        <v>45693</v>
      </c>
      <c r="G394" s="9">
        <v>45723</v>
      </c>
      <c r="H394" s="12">
        <v>-7</v>
      </c>
      <c r="I394" s="11">
        <v>27</v>
      </c>
      <c r="J394" s="6" t="s">
        <v>22</v>
      </c>
      <c r="K394" s="6" t="s">
        <v>21</v>
      </c>
      <c r="L394" s="6" t="s">
        <v>21</v>
      </c>
      <c r="M394" s="2" t="str">
        <f t="shared" si="6"/>
        <v/>
      </c>
    </row>
    <row r="395" spans="1:13" x14ac:dyDescent="0.25">
      <c r="A395" s="6" t="s">
        <v>118</v>
      </c>
      <c r="B395" s="6" t="s">
        <v>119</v>
      </c>
      <c r="C395" s="6" t="s">
        <v>120</v>
      </c>
      <c r="D395" s="6" t="s">
        <v>1303</v>
      </c>
      <c r="E395" s="6" t="s">
        <v>1304</v>
      </c>
      <c r="F395" s="9">
        <v>45693</v>
      </c>
      <c r="G395" s="9">
        <v>45723</v>
      </c>
      <c r="H395" s="12">
        <v>-7</v>
      </c>
      <c r="I395" s="11">
        <v>8.5</v>
      </c>
      <c r="J395" s="6" t="s">
        <v>22</v>
      </c>
      <c r="K395" s="6" t="s">
        <v>21</v>
      </c>
      <c r="L395" s="6" t="s">
        <v>21</v>
      </c>
      <c r="M395" s="2" t="str">
        <f t="shared" si="6"/>
        <v/>
      </c>
    </row>
    <row r="396" spans="1:13" x14ac:dyDescent="0.25">
      <c r="A396" s="6" t="s">
        <v>118</v>
      </c>
      <c r="B396" s="6" t="s">
        <v>119</v>
      </c>
      <c r="C396" s="6" t="s">
        <v>120</v>
      </c>
      <c r="D396" s="6" t="s">
        <v>1305</v>
      </c>
      <c r="E396" s="6" t="s">
        <v>1306</v>
      </c>
      <c r="F396" s="9">
        <v>45693</v>
      </c>
      <c r="G396" s="9">
        <v>45723</v>
      </c>
      <c r="H396" s="12">
        <v>-7</v>
      </c>
      <c r="I396" s="11">
        <v>54</v>
      </c>
      <c r="J396" s="6" t="s">
        <v>22</v>
      </c>
      <c r="K396" s="6" t="s">
        <v>21</v>
      </c>
      <c r="L396" s="6" t="s">
        <v>21</v>
      </c>
      <c r="M396" s="2" t="str">
        <f t="shared" si="6"/>
        <v/>
      </c>
    </row>
    <row r="397" spans="1:13" x14ac:dyDescent="0.25">
      <c r="A397" s="6" t="s">
        <v>118</v>
      </c>
      <c r="B397" s="6" t="s">
        <v>119</v>
      </c>
      <c r="C397" s="6" t="s">
        <v>120</v>
      </c>
      <c r="D397" s="6" t="s">
        <v>1307</v>
      </c>
      <c r="E397" s="6" t="s">
        <v>1308</v>
      </c>
      <c r="F397" s="9">
        <v>45693</v>
      </c>
      <c r="G397" s="9">
        <v>45723</v>
      </c>
      <c r="H397" s="12">
        <v>-7</v>
      </c>
      <c r="I397" s="11">
        <v>28</v>
      </c>
      <c r="J397" s="6" t="s">
        <v>22</v>
      </c>
      <c r="K397" s="6" t="s">
        <v>21</v>
      </c>
      <c r="L397" s="6" t="s">
        <v>21</v>
      </c>
      <c r="M397" s="2" t="str">
        <f t="shared" si="6"/>
        <v/>
      </c>
    </row>
    <row r="398" spans="1:13" x14ac:dyDescent="0.25">
      <c r="A398" s="6" t="s">
        <v>118</v>
      </c>
      <c r="B398" s="6" t="s">
        <v>119</v>
      </c>
      <c r="C398" s="6" t="s">
        <v>120</v>
      </c>
      <c r="D398" s="6" t="s">
        <v>1309</v>
      </c>
      <c r="E398" s="6" t="s">
        <v>1310</v>
      </c>
      <c r="F398" s="9">
        <v>45693</v>
      </c>
      <c r="G398" s="9">
        <v>45723</v>
      </c>
      <c r="H398" s="12">
        <v>-7</v>
      </c>
      <c r="I398" s="11">
        <v>218</v>
      </c>
      <c r="J398" s="6" t="s">
        <v>22</v>
      </c>
      <c r="K398" s="6" t="s">
        <v>21</v>
      </c>
      <c r="L398" s="6" t="s">
        <v>21</v>
      </c>
      <c r="M398" s="2" t="str">
        <f t="shared" si="6"/>
        <v/>
      </c>
    </row>
    <row r="399" spans="1:13" x14ac:dyDescent="0.25">
      <c r="A399" s="6" t="s">
        <v>118</v>
      </c>
      <c r="B399" s="6" t="s">
        <v>119</v>
      </c>
      <c r="C399" s="6" t="s">
        <v>120</v>
      </c>
      <c r="D399" s="6" t="s">
        <v>1311</v>
      </c>
      <c r="E399" s="6" t="s">
        <v>1312</v>
      </c>
      <c r="F399" s="9">
        <v>45688</v>
      </c>
      <c r="G399" s="9">
        <v>45718</v>
      </c>
      <c r="H399" s="12">
        <v>-2</v>
      </c>
      <c r="I399" s="11">
        <v>180.17999999999998</v>
      </c>
      <c r="J399" s="6" t="s">
        <v>22</v>
      </c>
      <c r="K399" s="6" t="s">
        <v>21</v>
      </c>
      <c r="L399" s="6" t="s">
        <v>21</v>
      </c>
      <c r="M399" s="2" t="str">
        <f t="shared" si="6"/>
        <v/>
      </c>
    </row>
    <row r="400" spans="1:13" x14ac:dyDescent="0.25">
      <c r="A400" s="6" t="s">
        <v>118</v>
      </c>
      <c r="B400" s="6" t="s">
        <v>119</v>
      </c>
      <c r="C400" s="6" t="s">
        <v>120</v>
      </c>
      <c r="D400" s="6" t="s">
        <v>1313</v>
      </c>
      <c r="E400" s="6" t="s">
        <v>1314</v>
      </c>
      <c r="F400" s="9">
        <v>45688</v>
      </c>
      <c r="G400" s="9">
        <v>45718</v>
      </c>
      <c r="H400" s="12">
        <v>-2</v>
      </c>
      <c r="I400" s="11">
        <v>3294</v>
      </c>
      <c r="J400" s="6" t="s">
        <v>22</v>
      </c>
      <c r="K400" s="6" t="s">
        <v>21</v>
      </c>
      <c r="L400" s="6" t="s">
        <v>21</v>
      </c>
      <c r="M400" s="2" t="str">
        <f t="shared" si="6"/>
        <v/>
      </c>
    </row>
    <row r="401" spans="1:13" x14ac:dyDescent="0.25">
      <c r="A401" s="6" t="s">
        <v>118</v>
      </c>
      <c r="B401" s="6" t="s">
        <v>119</v>
      </c>
      <c r="C401" s="6" t="s">
        <v>120</v>
      </c>
      <c r="D401" s="6" t="s">
        <v>1315</v>
      </c>
      <c r="E401" s="6" t="s">
        <v>1316</v>
      </c>
      <c r="F401" s="9">
        <v>45715</v>
      </c>
      <c r="G401" s="9">
        <v>45745</v>
      </c>
      <c r="H401" s="12">
        <v>-29</v>
      </c>
      <c r="I401" s="11">
        <v>630.46</v>
      </c>
      <c r="J401" s="6" t="s">
        <v>22</v>
      </c>
      <c r="K401" s="6" t="s">
        <v>21</v>
      </c>
      <c r="L401" s="6" t="s">
        <v>21</v>
      </c>
      <c r="M401" s="2" t="str">
        <f t="shared" si="6"/>
        <v/>
      </c>
    </row>
    <row r="402" spans="1:13" x14ac:dyDescent="0.25">
      <c r="A402" s="6" t="s">
        <v>118</v>
      </c>
      <c r="B402" s="6" t="s">
        <v>119</v>
      </c>
      <c r="C402" s="6" t="s">
        <v>120</v>
      </c>
      <c r="D402" s="6" t="s">
        <v>1317</v>
      </c>
      <c r="E402" s="6" t="s">
        <v>1318</v>
      </c>
      <c r="F402" s="9">
        <v>45715</v>
      </c>
      <c r="G402" s="9">
        <v>45760</v>
      </c>
      <c r="H402" s="12">
        <v>-44</v>
      </c>
      <c r="I402" s="11">
        <v>4541.41</v>
      </c>
      <c r="J402" s="6" t="s">
        <v>22</v>
      </c>
      <c r="K402" s="6" t="s">
        <v>21</v>
      </c>
      <c r="L402" s="6" t="s">
        <v>21</v>
      </c>
      <c r="M402" s="2" t="str">
        <f t="shared" si="6"/>
        <v/>
      </c>
    </row>
    <row r="403" spans="1:13" x14ac:dyDescent="0.25">
      <c r="A403" s="6" t="s">
        <v>118</v>
      </c>
      <c r="B403" s="6" t="s">
        <v>119</v>
      </c>
      <c r="C403" s="6" t="s">
        <v>120</v>
      </c>
      <c r="D403" s="6" t="s">
        <v>1319</v>
      </c>
      <c r="E403" s="6" t="s">
        <v>1320</v>
      </c>
      <c r="F403" s="9">
        <v>45715</v>
      </c>
      <c r="G403" s="9">
        <v>45760</v>
      </c>
      <c r="H403" s="12">
        <v>-44</v>
      </c>
      <c r="I403" s="11">
        <v>157.80000000000001</v>
      </c>
      <c r="J403" s="6" t="s">
        <v>22</v>
      </c>
      <c r="K403" s="6" t="s">
        <v>21</v>
      </c>
      <c r="L403" s="6" t="s">
        <v>21</v>
      </c>
      <c r="M403" s="2" t="str">
        <f t="shared" si="6"/>
        <v/>
      </c>
    </row>
    <row r="404" spans="1:13" x14ac:dyDescent="0.25">
      <c r="A404" s="6" t="s">
        <v>118</v>
      </c>
      <c r="B404" s="6" t="s">
        <v>119</v>
      </c>
      <c r="C404" s="6" t="s">
        <v>120</v>
      </c>
      <c r="D404" s="6" t="s">
        <v>1321</v>
      </c>
      <c r="E404" s="6" t="s">
        <v>1322</v>
      </c>
      <c r="F404" s="9">
        <v>45715</v>
      </c>
      <c r="G404" s="9">
        <v>45760</v>
      </c>
      <c r="H404" s="12">
        <v>-44</v>
      </c>
      <c r="I404" s="11">
        <v>2893.03</v>
      </c>
      <c r="J404" s="6" t="s">
        <v>22</v>
      </c>
      <c r="K404" s="6" t="s">
        <v>21</v>
      </c>
      <c r="L404" s="6" t="s">
        <v>21</v>
      </c>
      <c r="M404" s="2" t="str">
        <f t="shared" si="6"/>
        <v/>
      </c>
    </row>
    <row r="405" spans="1:13" x14ac:dyDescent="0.25">
      <c r="A405" s="6" t="s">
        <v>118</v>
      </c>
      <c r="B405" s="6" t="s">
        <v>119</v>
      </c>
      <c r="C405" s="6" t="s">
        <v>120</v>
      </c>
      <c r="D405" s="6" t="s">
        <v>1323</v>
      </c>
      <c r="E405" s="6" t="s">
        <v>1324</v>
      </c>
      <c r="F405" s="9">
        <v>45715</v>
      </c>
      <c r="G405" s="9">
        <v>45760</v>
      </c>
      <c r="H405" s="12">
        <v>-44</v>
      </c>
      <c r="I405" s="11">
        <v>300</v>
      </c>
      <c r="J405" s="6" t="s">
        <v>22</v>
      </c>
      <c r="K405" s="6" t="s">
        <v>21</v>
      </c>
      <c r="L405" s="6" t="s">
        <v>21</v>
      </c>
      <c r="M405" s="2" t="str">
        <f t="shared" si="6"/>
        <v/>
      </c>
    </row>
    <row r="406" spans="1:13" x14ac:dyDescent="0.25">
      <c r="A406" s="6" t="s">
        <v>118</v>
      </c>
      <c r="B406" s="6" t="s">
        <v>119</v>
      </c>
      <c r="C406" s="6" t="s">
        <v>120</v>
      </c>
      <c r="D406" s="6" t="s">
        <v>1325</v>
      </c>
      <c r="E406" s="6" t="s">
        <v>1326</v>
      </c>
      <c r="F406" s="9">
        <v>45715</v>
      </c>
      <c r="G406" s="9">
        <v>45760</v>
      </c>
      <c r="H406" s="12">
        <v>-44</v>
      </c>
      <c r="I406" s="11">
        <v>468.38</v>
      </c>
      <c r="J406" s="6" t="s">
        <v>22</v>
      </c>
      <c r="K406" s="6" t="s">
        <v>21</v>
      </c>
      <c r="L406" s="6" t="s">
        <v>21</v>
      </c>
      <c r="M406" s="2" t="str">
        <f t="shared" si="6"/>
        <v/>
      </c>
    </row>
    <row r="407" spans="1:13" x14ac:dyDescent="0.25">
      <c r="A407" s="6" t="s">
        <v>118</v>
      </c>
      <c r="B407" s="6" t="s">
        <v>119</v>
      </c>
      <c r="C407" s="6" t="s">
        <v>120</v>
      </c>
      <c r="D407" s="6" t="s">
        <v>1327</v>
      </c>
      <c r="E407" s="6" t="s">
        <v>1328</v>
      </c>
      <c r="F407" s="9">
        <v>45715</v>
      </c>
      <c r="G407" s="9">
        <v>45745</v>
      </c>
      <c r="H407" s="12">
        <v>-29</v>
      </c>
      <c r="I407" s="11">
        <v>568.21</v>
      </c>
      <c r="J407" s="6" t="s">
        <v>22</v>
      </c>
      <c r="K407" s="6" t="s">
        <v>21</v>
      </c>
      <c r="L407" s="6" t="s">
        <v>21</v>
      </c>
      <c r="M407" s="2" t="str">
        <f t="shared" si="6"/>
        <v/>
      </c>
    </row>
    <row r="408" spans="1:13" x14ac:dyDescent="0.25">
      <c r="A408" s="6" t="s">
        <v>118</v>
      </c>
      <c r="B408" s="6" t="s">
        <v>119</v>
      </c>
      <c r="C408" s="6" t="s">
        <v>120</v>
      </c>
      <c r="D408" s="6" t="s">
        <v>1329</v>
      </c>
      <c r="E408" s="6" t="s">
        <v>1330</v>
      </c>
      <c r="F408" s="9">
        <v>45715</v>
      </c>
      <c r="G408" s="9">
        <v>45745</v>
      </c>
      <c r="H408" s="12">
        <v>-29</v>
      </c>
      <c r="I408" s="11">
        <v>739.52</v>
      </c>
      <c r="J408" s="6" t="s">
        <v>22</v>
      </c>
      <c r="K408" s="6" t="s">
        <v>21</v>
      </c>
      <c r="L408" s="6" t="s">
        <v>21</v>
      </c>
      <c r="M408" s="2" t="str">
        <f t="shared" si="6"/>
        <v/>
      </c>
    </row>
    <row r="409" spans="1:13" x14ac:dyDescent="0.25">
      <c r="A409" s="6" t="s">
        <v>118</v>
      </c>
      <c r="B409" s="6" t="s">
        <v>119</v>
      </c>
      <c r="C409" s="6" t="s">
        <v>120</v>
      </c>
      <c r="D409" s="6" t="s">
        <v>1331</v>
      </c>
      <c r="E409" s="6" t="s">
        <v>1332</v>
      </c>
      <c r="F409" s="9">
        <v>45715</v>
      </c>
      <c r="G409" s="9">
        <v>45745</v>
      </c>
      <c r="H409" s="12">
        <v>-29</v>
      </c>
      <c r="I409" s="11">
        <v>308.08</v>
      </c>
      <c r="J409" s="6" t="s">
        <v>22</v>
      </c>
      <c r="K409" s="6" t="s">
        <v>21</v>
      </c>
      <c r="L409" s="6" t="s">
        <v>21</v>
      </c>
      <c r="M409" s="2" t="str">
        <f t="shared" si="6"/>
        <v/>
      </c>
    </row>
    <row r="410" spans="1:13" x14ac:dyDescent="0.25">
      <c r="A410" s="6" t="s">
        <v>118</v>
      </c>
      <c r="B410" s="6" t="s">
        <v>119</v>
      </c>
      <c r="C410" s="6" t="s">
        <v>120</v>
      </c>
      <c r="D410" s="6" t="s">
        <v>1333</v>
      </c>
      <c r="E410" s="6" t="s">
        <v>1334</v>
      </c>
      <c r="F410" s="9">
        <v>45715</v>
      </c>
      <c r="G410" s="9">
        <v>45745</v>
      </c>
      <c r="H410" s="12">
        <v>-29</v>
      </c>
      <c r="I410" s="11">
        <v>753.76</v>
      </c>
      <c r="J410" s="6" t="s">
        <v>22</v>
      </c>
      <c r="K410" s="6" t="s">
        <v>21</v>
      </c>
      <c r="L410" s="6" t="s">
        <v>21</v>
      </c>
      <c r="M410" s="2" t="str">
        <f t="shared" si="6"/>
        <v/>
      </c>
    </row>
    <row r="411" spans="1:13" x14ac:dyDescent="0.25">
      <c r="A411" s="6" t="s">
        <v>118</v>
      </c>
      <c r="B411" s="6" t="s">
        <v>119</v>
      </c>
      <c r="C411" s="6" t="s">
        <v>120</v>
      </c>
      <c r="D411" s="6" t="s">
        <v>1335</v>
      </c>
      <c r="E411" s="6" t="s">
        <v>1336</v>
      </c>
      <c r="F411" s="9">
        <v>45715</v>
      </c>
      <c r="G411" s="9">
        <v>45760</v>
      </c>
      <c r="H411" s="12">
        <v>-44</v>
      </c>
      <c r="I411" s="11">
        <v>1257.5999999999999</v>
      </c>
      <c r="J411" s="6" t="s">
        <v>22</v>
      </c>
      <c r="K411" s="6" t="s">
        <v>21</v>
      </c>
      <c r="L411" s="6" t="s">
        <v>21</v>
      </c>
      <c r="M411" s="2" t="str">
        <f t="shared" si="6"/>
        <v/>
      </c>
    </row>
    <row r="412" spans="1:13" x14ac:dyDescent="0.25">
      <c r="A412" s="6" t="s">
        <v>118</v>
      </c>
      <c r="B412" s="6" t="s">
        <v>119</v>
      </c>
      <c r="C412" s="6" t="s">
        <v>120</v>
      </c>
      <c r="D412" s="6" t="s">
        <v>1337</v>
      </c>
      <c r="E412" s="6" t="s">
        <v>1338</v>
      </c>
      <c r="F412" s="9">
        <v>45715</v>
      </c>
      <c r="G412" s="9">
        <v>45745</v>
      </c>
      <c r="H412" s="12">
        <v>-29</v>
      </c>
      <c r="I412" s="11">
        <v>243</v>
      </c>
      <c r="J412" s="6" t="s">
        <v>22</v>
      </c>
      <c r="K412" s="6" t="s">
        <v>21</v>
      </c>
      <c r="L412" s="6" t="s">
        <v>21</v>
      </c>
      <c r="M412" s="2" t="str">
        <f t="shared" si="6"/>
        <v/>
      </c>
    </row>
    <row r="413" spans="1:13" x14ac:dyDescent="0.25">
      <c r="A413" s="6" t="s">
        <v>118</v>
      </c>
      <c r="B413" s="6" t="s">
        <v>119</v>
      </c>
      <c r="C413" s="6" t="s">
        <v>120</v>
      </c>
      <c r="D413" s="6" t="s">
        <v>1339</v>
      </c>
      <c r="E413" s="6" t="s">
        <v>1340</v>
      </c>
      <c r="F413" s="9">
        <v>45715</v>
      </c>
      <c r="G413" s="9">
        <v>45745</v>
      </c>
      <c r="H413" s="12">
        <v>-29</v>
      </c>
      <c r="I413" s="11">
        <v>81</v>
      </c>
      <c r="J413" s="6" t="s">
        <v>22</v>
      </c>
      <c r="K413" s="6" t="s">
        <v>21</v>
      </c>
      <c r="L413" s="6" t="s">
        <v>21</v>
      </c>
      <c r="M413" s="2" t="str">
        <f t="shared" si="6"/>
        <v/>
      </c>
    </row>
    <row r="414" spans="1:13" x14ac:dyDescent="0.25">
      <c r="A414" s="6" t="s">
        <v>118</v>
      </c>
      <c r="B414" s="6" t="s">
        <v>119</v>
      </c>
      <c r="C414" s="6" t="s">
        <v>120</v>
      </c>
      <c r="D414" s="6" t="s">
        <v>1341</v>
      </c>
      <c r="E414" s="6" t="s">
        <v>1342</v>
      </c>
      <c r="F414" s="9">
        <v>45715</v>
      </c>
      <c r="G414" s="9">
        <v>45745</v>
      </c>
      <c r="H414" s="12">
        <v>-29</v>
      </c>
      <c r="I414" s="11">
        <v>81</v>
      </c>
      <c r="J414" s="6" t="s">
        <v>22</v>
      </c>
      <c r="K414" s="6" t="s">
        <v>21</v>
      </c>
      <c r="L414" s="6" t="s">
        <v>21</v>
      </c>
      <c r="M414" s="2" t="str">
        <f t="shared" si="6"/>
        <v/>
      </c>
    </row>
    <row r="415" spans="1:13" x14ac:dyDescent="0.25">
      <c r="A415" s="6" t="s">
        <v>118</v>
      </c>
      <c r="B415" s="6" t="s">
        <v>119</v>
      </c>
      <c r="C415" s="6" t="s">
        <v>120</v>
      </c>
      <c r="D415" s="6" t="s">
        <v>1343</v>
      </c>
      <c r="E415" s="6" t="s">
        <v>1344</v>
      </c>
      <c r="F415" s="9">
        <v>45715</v>
      </c>
      <c r="G415" s="9">
        <v>45745</v>
      </c>
      <c r="H415" s="12">
        <v>-29</v>
      </c>
      <c r="I415" s="11">
        <v>1332</v>
      </c>
      <c r="J415" s="6" t="s">
        <v>22</v>
      </c>
      <c r="K415" s="6" t="s">
        <v>21</v>
      </c>
      <c r="L415" s="6" t="s">
        <v>21</v>
      </c>
      <c r="M415" s="2" t="str">
        <f t="shared" si="6"/>
        <v/>
      </c>
    </row>
    <row r="416" spans="1:13" x14ac:dyDescent="0.25">
      <c r="A416" s="6" t="s">
        <v>118</v>
      </c>
      <c r="B416" s="6" t="s">
        <v>119</v>
      </c>
      <c r="C416" s="6" t="s">
        <v>120</v>
      </c>
      <c r="D416" s="6" t="s">
        <v>1345</v>
      </c>
      <c r="E416" s="6" t="s">
        <v>1346</v>
      </c>
      <c r="F416" s="9">
        <v>45715</v>
      </c>
      <c r="G416" s="9">
        <v>45760</v>
      </c>
      <c r="H416" s="12">
        <v>-44</v>
      </c>
      <c r="I416" s="11">
        <v>381.72</v>
      </c>
      <c r="J416" s="6" t="s">
        <v>22</v>
      </c>
      <c r="K416" s="6" t="s">
        <v>21</v>
      </c>
      <c r="L416" s="6" t="s">
        <v>21</v>
      </c>
      <c r="M416" s="2" t="str">
        <f t="shared" si="6"/>
        <v/>
      </c>
    </row>
    <row r="417" spans="1:13" x14ac:dyDescent="0.25">
      <c r="A417" s="6" t="s">
        <v>118</v>
      </c>
      <c r="B417" s="6" t="s">
        <v>119</v>
      </c>
      <c r="C417" s="6" t="s">
        <v>120</v>
      </c>
      <c r="D417" s="6" t="s">
        <v>1347</v>
      </c>
      <c r="E417" s="6" t="s">
        <v>1348</v>
      </c>
      <c r="F417" s="9">
        <v>45715</v>
      </c>
      <c r="G417" s="9">
        <v>45775</v>
      </c>
      <c r="H417" s="12">
        <v>-59</v>
      </c>
      <c r="I417" s="11">
        <v>969.6</v>
      </c>
      <c r="J417" s="6" t="s">
        <v>22</v>
      </c>
      <c r="K417" s="6" t="s">
        <v>21</v>
      </c>
      <c r="L417" s="6" t="s">
        <v>21</v>
      </c>
      <c r="M417" s="2" t="str">
        <f t="shared" si="6"/>
        <v/>
      </c>
    </row>
    <row r="418" spans="1:13" x14ac:dyDescent="0.25">
      <c r="A418" s="6" t="s">
        <v>118</v>
      </c>
      <c r="B418" s="6" t="s">
        <v>119</v>
      </c>
      <c r="C418" s="6" t="s">
        <v>120</v>
      </c>
      <c r="D418" s="6" t="s">
        <v>1349</v>
      </c>
      <c r="E418" s="6" t="s">
        <v>1350</v>
      </c>
      <c r="F418" s="9">
        <v>45715</v>
      </c>
      <c r="G418" s="9">
        <v>45760</v>
      </c>
      <c r="H418" s="12">
        <v>-44</v>
      </c>
      <c r="I418" s="11">
        <v>790.1</v>
      </c>
      <c r="J418" s="6" t="s">
        <v>22</v>
      </c>
      <c r="K418" s="6" t="s">
        <v>21</v>
      </c>
      <c r="L418" s="6" t="s">
        <v>21</v>
      </c>
      <c r="M418" s="2" t="str">
        <f t="shared" si="6"/>
        <v/>
      </c>
    </row>
    <row r="419" spans="1:13" x14ac:dyDescent="0.25">
      <c r="A419" s="6" t="s">
        <v>118</v>
      </c>
      <c r="B419" s="6" t="s">
        <v>119</v>
      </c>
      <c r="C419" s="6" t="s">
        <v>120</v>
      </c>
      <c r="D419" s="6" t="s">
        <v>1351</v>
      </c>
      <c r="E419" s="6" t="s">
        <v>1352</v>
      </c>
      <c r="F419" s="9">
        <v>45715</v>
      </c>
      <c r="G419" s="9">
        <v>45760</v>
      </c>
      <c r="H419" s="12">
        <v>-44</v>
      </c>
      <c r="I419" s="11">
        <v>1050</v>
      </c>
      <c r="J419" s="6" t="s">
        <v>22</v>
      </c>
      <c r="K419" s="6" t="s">
        <v>21</v>
      </c>
      <c r="L419" s="6" t="s">
        <v>21</v>
      </c>
      <c r="M419" s="2" t="str">
        <f t="shared" si="6"/>
        <v/>
      </c>
    </row>
    <row r="420" spans="1:13" x14ac:dyDescent="0.25">
      <c r="A420" s="6" t="s">
        <v>118</v>
      </c>
      <c r="B420" s="6" t="s">
        <v>119</v>
      </c>
      <c r="C420" s="6" t="s">
        <v>120</v>
      </c>
      <c r="D420" s="6" t="s">
        <v>1353</v>
      </c>
      <c r="E420" s="6" t="s">
        <v>1354</v>
      </c>
      <c r="F420" s="9">
        <v>45715</v>
      </c>
      <c r="G420" s="9">
        <v>45760</v>
      </c>
      <c r="H420" s="12">
        <v>-44</v>
      </c>
      <c r="I420" s="11">
        <v>618.66</v>
      </c>
      <c r="J420" s="6" t="s">
        <v>22</v>
      </c>
      <c r="K420" s="6" t="s">
        <v>21</v>
      </c>
      <c r="L420" s="6" t="s">
        <v>21</v>
      </c>
      <c r="M420" s="2" t="str">
        <f t="shared" si="6"/>
        <v/>
      </c>
    </row>
    <row r="421" spans="1:13" x14ac:dyDescent="0.25">
      <c r="A421" s="6" t="s">
        <v>118</v>
      </c>
      <c r="B421" s="6" t="s">
        <v>119</v>
      </c>
      <c r="C421" s="6" t="s">
        <v>120</v>
      </c>
      <c r="D421" s="6" t="s">
        <v>1355</v>
      </c>
      <c r="E421" s="6" t="s">
        <v>1356</v>
      </c>
      <c r="F421" s="9">
        <v>45715</v>
      </c>
      <c r="G421" s="9">
        <v>45745</v>
      </c>
      <c r="H421" s="12">
        <v>-29</v>
      </c>
      <c r="I421" s="11">
        <v>75</v>
      </c>
      <c r="J421" s="6" t="s">
        <v>22</v>
      </c>
      <c r="K421" s="6" t="s">
        <v>21</v>
      </c>
      <c r="L421" s="6" t="s">
        <v>21</v>
      </c>
      <c r="M421" s="2" t="str">
        <f t="shared" si="6"/>
        <v/>
      </c>
    </row>
    <row r="422" spans="1:13" x14ac:dyDescent="0.25">
      <c r="A422" s="6" t="s">
        <v>118</v>
      </c>
      <c r="B422" s="6" t="s">
        <v>119</v>
      </c>
      <c r="C422" s="6" t="s">
        <v>120</v>
      </c>
      <c r="D422" s="6" t="s">
        <v>1357</v>
      </c>
      <c r="E422" s="6" t="s">
        <v>1358</v>
      </c>
      <c r="F422" s="9">
        <v>45715</v>
      </c>
      <c r="G422" s="9">
        <v>45745</v>
      </c>
      <c r="H422" s="12">
        <v>-29</v>
      </c>
      <c r="I422" s="11">
        <v>2727.79</v>
      </c>
      <c r="J422" s="6" t="s">
        <v>22</v>
      </c>
      <c r="K422" s="6" t="s">
        <v>21</v>
      </c>
      <c r="L422" s="6" t="s">
        <v>21</v>
      </c>
      <c r="M422" s="2" t="str">
        <f t="shared" si="6"/>
        <v/>
      </c>
    </row>
    <row r="423" spans="1:13" x14ac:dyDescent="0.25">
      <c r="A423" s="6" t="s">
        <v>118</v>
      </c>
      <c r="B423" s="6" t="s">
        <v>119</v>
      </c>
      <c r="C423" s="6" t="s">
        <v>120</v>
      </c>
      <c r="D423" s="6" t="s">
        <v>1359</v>
      </c>
      <c r="E423" s="6" t="s">
        <v>1360</v>
      </c>
      <c r="F423" s="9">
        <v>45715</v>
      </c>
      <c r="G423" s="9">
        <v>45745</v>
      </c>
      <c r="H423" s="12">
        <v>-29</v>
      </c>
      <c r="I423" s="11">
        <v>1001.95</v>
      </c>
      <c r="J423" s="6" t="s">
        <v>22</v>
      </c>
      <c r="K423" s="6" t="s">
        <v>21</v>
      </c>
      <c r="L423" s="6" t="s">
        <v>21</v>
      </c>
      <c r="M423" s="2" t="str">
        <f t="shared" si="6"/>
        <v/>
      </c>
    </row>
    <row r="424" spans="1:13" x14ac:dyDescent="0.25">
      <c r="A424" s="6" t="s">
        <v>118</v>
      </c>
      <c r="B424" s="6" t="s">
        <v>119</v>
      </c>
      <c r="C424" s="6" t="s">
        <v>120</v>
      </c>
      <c r="D424" s="6" t="s">
        <v>1361</v>
      </c>
      <c r="E424" s="6" t="s">
        <v>1362</v>
      </c>
      <c r="F424" s="9">
        <v>45715</v>
      </c>
      <c r="G424" s="9">
        <v>45745</v>
      </c>
      <c r="H424" s="12">
        <v>-29</v>
      </c>
      <c r="I424" s="11">
        <v>98.1</v>
      </c>
      <c r="J424" s="6" t="s">
        <v>22</v>
      </c>
      <c r="K424" s="6" t="s">
        <v>21</v>
      </c>
      <c r="L424" s="6" t="s">
        <v>21</v>
      </c>
      <c r="M424" s="2" t="str">
        <f t="shared" si="6"/>
        <v/>
      </c>
    </row>
    <row r="425" spans="1:13" x14ac:dyDescent="0.25">
      <c r="A425" s="6" t="s">
        <v>118</v>
      </c>
      <c r="B425" s="6" t="s">
        <v>119</v>
      </c>
      <c r="C425" s="6" t="s">
        <v>120</v>
      </c>
      <c r="D425" s="6" t="s">
        <v>1363</v>
      </c>
      <c r="E425" s="6" t="s">
        <v>1364</v>
      </c>
      <c r="F425" s="9">
        <v>45715</v>
      </c>
      <c r="G425" s="9">
        <v>45760</v>
      </c>
      <c r="H425" s="12">
        <v>-44</v>
      </c>
      <c r="I425" s="11">
        <v>59.4</v>
      </c>
      <c r="J425" s="6" t="s">
        <v>22</v>
      </c>
      <c r="K425" s="6" t="s">
        <v>21</v>
      </c>
      <c r="L425" s="6" t="s">
        <v>21</v>
      </c>
      <c r="M425" s="2" t="str">
        <f t="shared" si="6"/>
        <v/>
      </c>
    </row>
    <row r="426" spans="1:13" x14ac:dyDescent="0.25">
      <c r="A426" s="6" t="s">
        <v>118</v>
      </c>
      <c r="B426" s="6" t="s">
        <v>119</v>
      </c>
      <c r="C426" s="6" t="s">
        <v>120</v>
      </c>
      <c r="D426" s="6" t="s">
        <v>1365</v>
      </c>
      <c r="E426" s="6" t="s">
        <v>1366</v>
      </c>
      <c r="F426" s="9">
        <v>45715</v>
      </c>
      <c r="G426" s="9">
        <v>45760</v>
      </c>
      <c r="H426" s="12">
        <v>-44</v>
      </c>
      <c r="I426" s="11">
        <v>935.26</v>
      </c>
      <c r="J426" s="6" t="s">
        <v>22</v>
      </c>
      <c r="K426" s="6" t="s">
        <v>21</v>
      </c>
      <c r="L426" s="6" t="s">
        <v>21</v>
      </c>
      <c r="M426" s="2" t="str">
        <f t="shared" si="6"/>
        <v/>
      </c>
    </row>
    <row r="427" spans="1:13" x14ac:dyDescent="0.25">
      <c r="A427" s="6" t="s">
        <v>7</v>
      </c>
      <c r="B427" s="6" t="s">
        <v>137</v>
      </c>
      <c r="C427" s="6" t="s">
        <v>138</v>
      </c>
      <c r="D427" s="6" t="s">
        <v>139</v>
      </c>
      <c r="E427" s="6" t="s">
        <v>21</v>
      </c>
      <c r="F427" s="9">
        <v>45607</v>
      </c>
      <c r="G427" s="9">
        <v>45607</v>
      </c>
      <c r="H427" s="10">
        <v>109</v>
      </c>
      <c r="I427" s="13">
        <v>-513.14</v>
      </c>
      <c r="J427" s="6" t="s">
        <v>22</v>
      </c>
      <c r="K427" s="6" t="s">
        <v>140</v>
      </c>
      <c r="L427" s="6" t="s">
        <v>21</v>
      </c>
      <c r="M427" s="2">
        <f t="shared" si="6"/>
        <v>-513.14</v>
      </c>
    </row>
    <row r="428" spans="1:13" x14ac:dyDescent="0.25">
      <c r="A428" s="6" t="s">
        <v>7</v>
      </c>
      <c r="B428" s="6" t="s">
        <v>137</v>
      </c>
      <c r="C428" s="6" t="s">
        <v>138</v>
      </c>
      <c r="D428" s="6" t="s">
        <v>141</v>
      </c>
      <c r="E428" s="6" t="s">
        <v>21</v>
      </c>
      <c r="F428" s="9">
        <v>45621</v>
      </c>
      <c r="G428" s="9">
        <v>45621</v>
      </c>
      <c r="H428" s="10">
        <v>95</v>
      </c>
      <c r="I428" s="13">
        <v>-984.03</v>
      </c>
      <c r="J428" s="6" t="s">
        <v>22</v>
      </c>
      <c r="K428" s="6" t="s">
        <v>142</v>
      </c>
      <c r="L428" s="6" t="s">
        <v>21</v>
      </c>
      <c r="M428" s="2">
        <f t="shared" si="6"/>
        <v>-984.03</v>
      </c>
    </row>
    <row r="429" spans="1:13" x14ac:dyDescent="0.25">
      <c r="A429" s="6" t="s">
        <v>7</v>
      </c>
      <c r="B429" s="6" t="s">
        <v>137</v>
      </c>
      <c r="C429" s="6" t="s">
        <v>138</v>
      </c>
      <c r="D429" s="6" t="s">
        <v>143</v>
      </c>
      <c r="E429" s="6" t="s">
        <v>21</v>
      </c>
      <c r="F429" s="9">
        <v>45636</v>
      </c>
      <c r="G429" s="9">
        <v>45636</v>
      </c>
      <c r="H429" s="10">
        <v>80</v>
      </c>
      <c r="I429" s="13">
        <v>-89804.66</v>
      </c>
      <c r="J429" s="6" t="s">
        <v>22</v>
      </c>
      <c r="K429" s="6" t="s">
        <v>144</v>
      </c>
      <c r="L429" s="6" t="s">
        <v>21</v>
      </c>
      <c r="M429" s="2">
        <f t="shared" si="6"/>
        <v>-89804.66</v>
      </c>
    </row>
    <row r="430" spans="1:13" x14ac:dyDescent="0.25">
      <c r="A430" s="6" t="s">
        <v>7</v>
      </c>
      <c r="B430" s="6" t="s">
        <v>137</v>
      </c>
      <c r="C430" s="6" t="s">
        <v>138</v>
      </c>
      <c r="D430" s="6" t="s">
        <v>145</v>
      </c>
      <c r="E430" s="6" t="s">
        <v>21</v>
      </c>
      <c r="F430" s="9">
        <v>45160</v>
      </c>
      <c r="G430" s="9">
        <v>45551</v>
      </c>
      <c r="H430" s="10">
        <v>165</v>
      </c>
      <c r="I430" s="13">
        <v>-1262780.3799999999</v>
      </c>
      <c r="J430" s="6" t="s">
        <v>22</v>
      </c>
      <c r="K430" s="6" t="s">
        <v>146</v>
      </c>
      <c r="L430" s="6" t="s">
        <v>21</v>
      </c>
      <c r="M430" s="2">
        <f t="shared" si="6"/>
        <v>-1262780.3799999999</v>
      </c>
    </row>
    <row r="431" spans="1:13" x14ac:dyDescent="0.25">
      <c r="A431" s="6" t="s">
        <v>7</v>
      </c>
      <c r="B431" s="6" t="s">
        <v>137</v>
      </c>
      <c r="C431" s="6" t="s">
        <v>138</v>
      </c>
      <c r="D431" s="6" t="s">
        <v>147</v>
      </c>
      <c r="E431" s="6" t="s">
        <v>148</v>
      </c>
      <c r="F431" s="9">
        <v>45327</v>
      </c>
      <c r="G431" s="9">
        <v>45357</v>
      </c>
      <c r="H431" s="10">
        <v>359</v>
      </c>
      <c r="I431" s="11">
        <v>74380.95</v>
      </c>
      <c r="J431" s="6" t="s">
        <v>22</v>
      </c>
      <c r="K431" s="6" t="s">
        <v>149</v>
      </c>
      <c r="L431" s="6" t="s">
        <v>21</v>
      </c>
      <c r="M431" s="2">
        <f t="shared" si="6"/>
        <v>74380.95</v>
      </c>
    </row>
    <row r="432" spans="1:13" x14ac:dyDescent="0.25">
      <c r="A432" s="6" t="s">
        <v>7</v>
      </c>
      <c r="B432" s="6" t="s">
        <v>137</v>
      </c>
      <c r="C432" s="6" t="s">
        <v>138</v>
      </c>
      <c r="D432" s="6" t="s">
        <v>150</v>
      </c>
      <c r="E432" s="6" t="s">
        <v>151</v>
      </c>
      <c r="F432" s="9">
        <v>45646</v>
      </c>
      <c r="G432" s="9">
        <v>45676</v>
      </c>
      <c r="H432" s="10">
        <v>40</v>
      </c>
      <c r="I432" s="11">
        <v>999.6</v>
      </c>
      <c r="J432" s="6" t="s">
        <v>22</v>
      </c>
      <c r="K432" s="6" t="s">
        <v>152</v>
      </c>
      <c r="L432" s="6" t="s">
        <v>21</v>
      </c>
      <c r="M432" s="2">
        <f t="shared" si="6"/>
        <v>999.6</v>
      </c>
    </row>
    <row r="433" spans="1:13" x14ac:dyDescent="0.25">
      <c r="A433" s="6" t="s">
        <v>7</v>
      </c>
      <c r="B433" s="6" t="s">
        <v>137</v>
      </c>
      <c r="C433" s="6" t="s">
        <v>138</v>
      </c>
      <c r="D433" s="6" t="s">
        <v>153</v>
      </c>
      <c r="E433" s="6" t="s">
        <v>154</v>
      </c>
      <c r="F433" s="9">
        <v>45656</v>
      </c>
      <c r="G433" s="9">
        <v>45686</v>
      </c>
      <c r="H433" s="10">
        <v>30</v>
      </c>
      <c r="I433" s="11">
        <v>38474.6</v>
      </c>
      <c r="J433" s="6" t="s">
        <v>22</v>
      </c>
      <c r="K433" s="6" t="s">
        <v>21</v>
      </c>
      <c r="L433" s="6" t="s">
        <v>21</v>
      </c>
      <c r="M433" s="2">
        <f t="shared" si="6"/>
        <v>38474.6</v>
      </c>
    </row>
    <row r="434" spans="1:13" x14ac:dyDescent="0.25">
      <c r="A434" s="6" t="s">
        <v>7</v>
      </c>
      <c r="B434" s="6" t="s">
        <v>137</v>
      </c>
      <c r="C434" s="6" t="s">
        <v>138</v>
      </c>
      <c r="D434" s="6" t="s">
        <v>155</v>
      </c>
      <c r="E434" s="6" t="s">
        <v>156</v>
      </c>
      <c r="F434" s="9">
        <v>45631</v>
      </c>
      <c r="G434" s="9">
        <v>45661</v>
      </c>
      <c r="H434" s="10">
        <v>55</v>
      </c>
      <c r="I434" s="11">
        <v>26021.040000000001</v>
      </c>
      <c r="J434" s="6" t="s">
        <v>22</v>
      </c>
      <c r="K434" s="6" t="s">
        <v>21</v>
      </c>
      <c r="L434" s="6" t="s">
        <v>21</v>
      </c>
      <c r="M434" s="2">
        <f t="shared" si="6"/>
        <v>26021.040000000001</v>
      </c>
    </row>
    <row r="435" spans="1:13" x14ac:dyDescent="0.25">
      <c r="A435" s="6" t="s">
        <v>7</v>
      </c>
      <c r="B435" s="6" t="s">
        <v>137</v>
      </c>
      <c r="C435" s="6" t="s">
        <v>138</v>
      </c>
      <c r="D435" s="6" t="s">
        <v>157</v>
      </c>
      <c r="E435" s="6" t="s">
        <v>158</v>
      </c>
      <c r="F435" s="9">
        <v>45631</v>
      </c>
      <c r="G435" s="9">
        <v>45661</v>
      </c>
      <c r="H435" s="10">
        <v>55</v>
      </c>
      <c r="I435" s="11">
        <v>13393.03</v>
      </c>
      <c r="J435" s="6" t="s">
        <v>22</v>
      </c>
      <c r="K435" s="6" t="s">
        <v>21</v>
      </c>
      <c r="L435" s="6" t="s">
        <v>21</v>
      </c>
      <c r="M435" s="2">
        <f t="shared" si="6"/>
        <v>13393.03</v>
      </c>
    </row>
    <row r="436" spans="1:13" x14ac:dyDescent="0.25">
      <c r="A436" s="6" t="s">
        <v>7</v>
      </c>
      <c r="B436" s="6" t="s">
        <v>137</v>
      </c>
      <c r="C436" s="6" t="s">
        <v>138</v>
      </c>
      <c r="D436" s="6" t="s">
        <v>159</v>
      </c>
      <c r="E436" s="6" t="s">
        <v>160</v>
      </c>
      <c r="F436" s="9">
        <v>45631</v>
      </c>
      <c r="G436" s="9">
        <v>45645</v>
      </c>
      <c r="H436" s="10">
        <v>71</v>
      </c>
      <c r="I436" s="11">
        <v>23030.78</v>
      </c>
      <c r="J436" s="6" t="s">
        <v>22</v>
      </c>
      <c r="K436" s="6" t="s">
        <v>21</v>
      </c>
      <c r="L436" s="6" t="s">
        <v>21</v>
      </c>
      <c r="M436" s="2">
        <f t="shared" si="6"/>
        <v>23030.78</v>
      </c>
    </row>
    <row r="437" spans="1:13" x14ac:dyDescent="0.25">
      <c r="A437" s="6" t="s">
        <v>7</v>
      </c>
      <c r="B437" s="6" t="s">
        <v>137</v>
      </c>
      <c r="C437" s="6" t="s">
        <v>138</v>
      </c>
      <c r="D437" s="6" t="s">
        <v>161</v>
      </c>
      <c r="E437" s="6" t="s">
        <v>162</v>
      </c>
      <c r="F437" s="9">
        <v>45631</v>
      </c>
      <c r="G437" s="9">
        <v>45661</v>
      </c>
      <c r="H437" s="10">
        <v>55</v>
      </c>
      <c r="I437" s="11">
        <v>10940.619999999999</v>
      </c>
      <c r="J437" s="6" t="s">
        <v>22</v>
      </c>
      <c r="K437" s="6" t="s">
        <v>21</v>
      </c>
      <c r="L437" s="6" t="s">
        <v>21</v>
      </c>
      <c r="M437" s="2">
        <f t="shared" si="6"/>
        <v>10940.619999999999</v>
      </c>
    </row>
    <row r="438" spans="1:13" x14ac:dyDescent="0.25">
      <c r="A438" s="6" t="s">
        <v>7</v>
      </c>
      <c r="B438" s="6" t="s">
        <v>137</v>
      </c>
      <c r="C438" s="6" t="s">
        <v>138</v>
      </c>
      <c r="D438" s="6" t="s">
        <v>163</v>
      </c>
      <c r="E438" s="6" t="s">
        <v>164</v>
      </c>
      <c r="F438" s="9">
        <v>45662</v>
      </c>
      <c r="G438" s="9">
        <v>45692</v>
      </c>
      <c r="H438" s="10">
        <v>24</v>
      </c>
      <c r="I438" s="11">
        <v>39716.25</v>
      </c>
      <c r="J438" s="6" t="s">
        <v>22</v>
      </c>
      <c r="K438" s="6" t="s">
        <v>21</v>
      </c>
      <c r="L438" s="6" t="s">
        <v>21</v>
      </c>
      <c r="M438" s="2">
        <f t="shared" si="6"/>
        <v>39716.25</v>
      </c>
    </row>
    <row r="439" spans="1:13" x14ac:dyDescent="0.25">
      <c r="A439" s="6" t="s">
        <v>7</v>
      </c>
      <c r="B439" s="6" t="s">
        <v>137</v>
      </c>
      <c r="C439" s="6" t="s">
        <v>138</v>
      </c>
      <c r="D439" s="6" t="s">
        <v>165</v>
      </c>
      <c r="E439" s="6" t="s">
        <v>166</v>
      </c>
      <c r="F439" s="9">
        <v>45662</v>
      </c>
      <c r="G439" s="9">
        <v>45692</v>
      </c>
      <c r="H439" s="10">
        <v>24</v>
      </c>
      <c r="I439" s="11">
        <v>0.06</v>
      </c>
      <c r="J439" s="6" t="s">
        <v>22</v>
      </c>
      <c r="K439" s="6" t="s">
        <v>21</v>
      </c>
      <c r="L439" s="6" t="s">
        <v>21</v>
      </c>
      <c r="M439" s="2">
        <f t="shared" si="6"/>
        <v>0.06</v>
      </c>
    </row>
    <row r="440" spans="1:13" x14ac:dyDescent="0.25">
      <c r="A440" s="6" t="s">
        <v>7</v>
      </c>
      <c r="B440" s="6" t="s">
        <v>137</v>
      </c>
      <c r="C440" s="6" t="s">
        <v>138</v>
      </c>
      <c r="D440" s="6" t="s">
        <v>167</v>
      </c>
      <c r="E440" s="6" t="s">
        <v>168</v>
      </c>
      <c r="F440" s="9">
        <v>45638</v>
      </c>
      <c r="G440" s="9">
        <v>45668</v>
      </c>
      <c r="H440" s="10">
        <v>48</v>
      </c>
      <c r="I440" s="11">
        <v>2998.8</v>
      </c>
      <c r="J440" s="6" t="s">
        <v>22</v>
      </c>
      <c r="K440" s="6" t="s">
        <v>169</v>
      </c>
      <c r="L440" s="6" t="s">
        <v>21</v>
      </c>
      <c r="M440" s="2">
        <f t="shared" si="6"/>
        <v>2998.8</v>
      </c>
    </row>
    <row r="441" spans="1:13" x14ac:dyDescent="0.25">
      <c r="A441" s="6" t="s">
        <v>7</v>
      </c>
      <c r="B441" s="6" t="s">
        <v>137</v>
      </c>
      <c r="C441" s="6" t="s">
        <v>138</v>
      </c>
      <c r="D441" s="6" t="s">
        <v>170</v>
      </c>
      <c r="E441" s="6" t="s">
        <v>171</v>
      </c>
      <c r="F441" s="9">
        <v>45638</v>
      </c>
      <c r="G441" s="9">
        <v>45668</v>
      </c>
      <c r="H441" s="10">
        <v>48</v>
      </c>
      <c r="I441" s="11">
        <v>2998.8</v>
      </c>
      <c r="J441" s="6" t="s">
        <v>22</v>
      </c>
      <c r="K441" s="6" t="s">
        <v>172</v>
      </c>
      <c r="L441" s="6" t="s">
        <v>21</v>
      </c>
      <c r="M441" s="2">
        <f t="shared" si="6"/>
        <v>2998.8</v>
      </c>
    </row>
    <row r="442" spans="1:13" x14ac:dyDescent="0.25">
      <c r="A442" s="6" t="s">
        <v>7</v>
      </c>
      <c r="B442" s="6" t="s">
        <v>137</v>
      </c>
      <c r="C442" s="6" t="s">
        <v>138</v>
      </c>
      <c r="D442" s="6" t="s">
        <v>637</v>
      </c>
      <c r="E442" s="6" t="s">
        <v>638</v>
      </c>
      <c r="F442" s="9">
        <v>45685</v>
      </c>
      <c r="G442" s="9">
        <v>45715</v>
      </c>
      <c r="H442" s="10">
        <v>1</v>
      </c>
      <c r="I442" s="11">
        <v>700719.71999999986</v>
      </c>
      <c r="J442" s="6" t="s">
        <v>22</v>
      </c>
      <c r="K442" s="6" t="s">
        <v>21</v>
      </c>
      <c r="L442" s="6" t="s">
        <v>21</v>
      </c>
      <c r="M442" s="2">
        <f t="shared" si="6"/>
        <v>700719.71999999986</v>
      </c>
    </row>
    <row r="443" spans="1:13" x14ac:dyDescent="0.25">
      <c r="A443" s="6" t="s">
        <v>7</v>
      </c>
      <c r="B443" s="6" t="s">
        <v>137</v>
      </c>
      <c r="C443" s="6" t="s">
        <v>138</v>
      </c>
      <c r="D443" s="6" t="s">
        <v>173</v>
      </c>
      <c r="E443" s="6" t="s">
        <v>174</v>
      </c>
      <c r="F443" s="9">
        <v>45663</v>
      </c>
      <c r="G443" s="9">
        <v>45693</v>
      </c>
      <c r="H443" s="10">
        <v>23</v>
      </c>
      <c r="I443" s="11">
        <v>1272751.01</v>
      </c>
      <c r="J443" s="6" t="s">
        <v>22</v>
      </c>
      <c r="K443" s="6" t="s">
        <v>21</v>
      </c>
      <c r="L443" s="6" t="s">
        <v>21</v>
      </c>
      <c r="M443" s="2">
        <f t="shared" si="6"/>
        <v>1272751.01</v>
      </c>
    </row>
    <row r="444" spans="1:13" x14ac:dyDescent="0.25">
      <c r="A444" s="6" t="s">
        <v>7</v>
      </c>
      <c r="B444" s="6" t="s">
        <v>137</v>
      </c>
      <c r="C444" s="6" t="s">
        <v>138</v>
      </c>
      <c r="D444" s="6" t="s">
        <v>1367</v>
      </c>
      <c r="E444" s="6" t="s">
        <v>1368</v>
      </c>
      <c r="F444" s="9">
        <v>45702</v>
      </c>
      <c r="G444" s="9">
        <v>45732</v>
      </c>
      <c r="H444" s="12">
        <v>-16</v>
      </c>
      <c r="I444" s="11">
        <v>1999.2</v>
      </c>
      <c r="J444" s="6" t="s">
        <v>22</v>
      </c>
      <c r="K444" s="6" t="s">
        <v>1369</v>
      </c>
      <c r="L444" s="6" t="s">
        <v>21</v>
      </c>
      <c r="M444" s="2" t="str">
        <f t="shared" si="6"/>
        <v/>
      </c>
    </row>
    <row r="445" spans="1:13" x14ac:dyDescent="0.25">
      <c r="A445" s="6" t="s">
        <v>7</v>
      </c>
      <c r="B445" s="6" t="s">
        <v>137</v>
      </c>
      <c r="C445" s="6" t="s">
        <v>138</v>
      </c>
      <c r="D445" s="6" t="s">
        <v>175</v>
      </c>
      <c r="E445" s="6" t="s">
        <v>176</v>
      </c>
      <c r="F445" s="9">
        <v>45603</v>
      </c>
      <c r="G445" s="9">
        <v>45633</v>
      </c>
      <c r="H445" s="10">
        <v>83</v>
      </c>
      <c r="I445" s="11">
        <v>92195.26</v>
      </c>
      <c r="J445" s="6" t="s">
        <v>22</v>
      </c>
      <c r="K445" s="6" t="s">
        <v>21</v>
      </c>
      <c r="L445" s="6" t="s">
        <v>21</v>
      </c>
      <c r="M445" s="2">
        <f t="shared" si="6"/>
        <v>92195.26</v>
      </c>
    </row>
    <row r="446" spans="1:13" x14ac:dyDescent="0.25">
      <c r="A446" s="6" t="s">
        <v>7</v>
      </c>
      <c r="B446" s="6" t="s">
        <v>137</v>
      </c>
      <c r="C446" s="6" t="s">
        <v>138</v>
      </c>
      <c r="D446" s="6" t="s">
        <v>177</v>
      </c>
      <c r="E446" s="6" t="s">
        <v>178</v>
      </c>
      <c r="F446" s="9">
        <v>45364</v>
      </c>
      <c r="G446" s="9">
        <v>45364</v>
      </c>
      <c r="H446" s="10">
        <v>352</v>
      </c>
      <c r="I446" s="13">
        <v>-39031.79</v>
      </c>
      <c r="J446" s="6" t="s">
        <v>22</v>
      </c>
      <c r="K446" s="6" t="s">
        <v>179</v>
      </c>
      <c r="L446" s="6" t="s">
        <v>21</v>
      </c>
      <c r="M446" s="2">
        <f t="shared" si="6"/>
        <v>-39031.79</v>
      </c>
    </row>
    <row r="447" spans="1:13" x14ac:dyDescent="0.25">
      <c r="A447" s="6" t="s">
        <v>7</v>
      </c>
      <c r="B447" s="6" t="s">
        <v>137</v>
      </c>
      <c r="C447" s="6" t="s">
        <v>138</v>
      </c>
      <c r="D447" s="6" t="s">
        <v>1370</v>
      </c>
      <c r="E447" s="6" t="s">
        <v>1371</v>
      </c>
      <c r="F447" s="9">
        <v>45693</v>
      </c>
      <c r="G447" s="9">
        <v>45723</v>
      </c>
      <c r="H447" s="12">
        <v>-7</v>
      </c>
      <c r="I447" s="11">
        <v>92195.26</v>
      </c>
      <c r="J447" s="6" t="s">
        <v>22</v>
      </c>
      <c r="K447" s="6" t="s">
        <v>21</v>
      </c>
      <c r="L447" s="6" t="s">
        <v>21</v>
      </c>
      <c r="M447" s="2" t="str">
        <f t="shared" si="6"/>
        <v/>
      </c>
    </row>
    <row r="448" spans="1:13" x14ac:dyDescent="0.25">
      <c r="A448" s="6" t="s">
        <v>7</v>
      </c>
      <c r="B448" s="6" t="s">
        <v>137</v>
      </c>
      <c r="C448" s="6" t="s">
        <v>138</v>
      </c>
      <c r="D448" s="6" t="s">
        <v>1372</v>
      </c>
      <c r="E448" s="6" t="s">
        <v>1373</v>
      </c>
      <c r="F448" s="9">
        <v>45693</v>
      </c>
      <c r="G448" s="9">
        <v>45723</v>
      </c>
      <c r="H448" s="12">
        <v>-7</v>
      </c>
      <c r="I448" s="11">
        <v>839473.68</v>
      </c>
      <c r="J448" s="6" t="s">
        <v>22</v>
      </c>
      <c r="K448" s="6" t="s">
        <v>21</v>
      </c>
      <c r="L448" s="6" t="s">
        <v>21</v>
      </c>
      <c r="M448" s="2" t="str">
        <f t="shared" si="6"/>
        <v/>
      </c>
    </row>
    <row r="449" spans="1:13" x14ac:dyDescent="0.25">
      <c r="A449" s="6" t="s">
        <v>7</v>
      </c>
      <c r="B449" s="6" t="s">
        <v>137</v>
      </c>
      <c r="C449" s="6" t="s">
        <v>138</v>
      </c>
      <c r="D449" s="6" t="s">
        <v>180</v>
      </c>
      <c r="E449" s="6" t="s">
        <v>181</v>
      </c>
      <c r="F449" s="9">
        <v>45316</v>
      </c>
      <c r="G449" s="9">
        <v>45346</v>
      </c>
      <c r="H449" s="10">
        <v>370</v>
      </c>
      <c r="I449" s="11">
        <v>4700.5</v>
      </c>
      <c r="J449" s="6" t="s">
        <v>22</v>
      </c>
      <c r="K449" s="6" t="s">
        <v>149</v>
      </c>
      <c r="L449" s="6" t="s">
        <v>21</v>
      </c>
      <c r="M449" s="2">
        <f t="shared" si="6"/>
        <v>4700.5</v>
      </c>
    </row>
    <row r="450" spans="1:13" x14ac:dyDescent="0.25">
      <c r="A450" s="6" t="s">
        <v>7</v>
      </c>
      <c r="B450" s="6" t="s">
        <v>137</v>
      </c>
      <c r="C450" s="6" t="s">
        <v>138</v>
      </c>
      <c r="D450" s="6" t="s">
        <v>182</v>
      </c>
      <c r="E450" s="6" t="s">
        <v>183</v>
      </c>
      <c r="F450" s="9">
        <v>45659</v>
      </c>
      <c r="G450" s="9">
        <v>45699</v>
      </c>
      <c r="H450" s="10">
        <v>17</v>
      </c>
      <c r="I450" s="11">
        <v>774690</v>
      </c>
      <c r="J450" s="6" t="s">
        <v>22</v>
      </c>
      <c r="K450" s="6" t="s">
        <v>21</v>
      </c>
      <c r="L450" s="6" t="s">
        <v>21</v>
      </c>
      <c r="M450" s="2">
        <f t="shared" si="6"/>
        <v>774690</v>
      </c>
    </row>
    <row r="451" spans="1:13" x14ac:dyDescent="0.25">
      <c r="A451" s="6" t="s">
        <v>7</v>
      </c>
      <c r="B451" s="6" t="s">
        <v>137</v>
      </c>
      <c r="C451" s="6" t="s">
        <v>138</v>
      </c>
      <c r="D451" s="6" t="s">
        <v>1374</v>
      </c>
      <c r="E451" s="6" t="s">
        <v>1375</v>
      </c>
      <c r="F451" s="9">
        <v>45695</v>
      </c>
      <c r="G451" s="9">
        <v>45725</v>
      </c>
      <c r="H451" s="12">
        <v>-9</v>
      </c>
      <c r="I451" s="11">
        <v>1586442.26</v>
      </c>
      <c r="J451" s="6" t="s">
        <v>22</v>
      </c>
      <c r="K451" s="6" t="s">
        <v>21</v>
      </c>
      <c r="L451" s="6" t="s">
        <v>21</v>
      </c>
      <c r="M451" s="2" t="str">
        <f t="shared" ref="M451:M514" si="7">IF(H451&gt;0,I451,"")</f>
        <v/>
      </c>
    </row>
    <row r="452" spans="1:13" x14ac:dyDescent="0.25">
      <c r="A452" s="6" t="s">
        <v>7</v>
      </c>
      <c r="B452" s="6" t="s">
        <v>137</v>
      </c>
      <c r="C452" s="6" t="s">
        <v>138</v>
      </c>
      <c r="D452" s="6" t="s">
        <v>1376</v>
      </c>
      <c r="E452" s="6" t="s">
        <v>1377</v>
      </c>
      <c r="F452" s="9">
        <v>45695</v>
      </c>
      <c r="G452" s="9">
        <v>45725</v>
      </c>
      <c r="H452" s="12">
        <v>-9</v>
      </c>
      <c r="I452" s="11">
        <v>6571.58</v>
      </c>
      <c r="J452" s="6" t="s">
        <v>22</v>
      </c>
      <c r="K452" s="6" t="s">
        <v>21</v>
      </c>
      <c r="L452" s="6" t="s">
        <v>21</v>
      </c>
      <c r="M452" s="2" t="str">
        <f t="shared" si="7"/>
        <v/>
      </c>
    </row>
    <row r="453" spans="1:13" x14ac:dyDescent="0.25">
      <c r="A453" s="6" t="s">
        <v>7</v>
      </c>
      <c r="B453" s="6" t="s">
        <v>137</v>
      </c>
      <c r="C453" s="6" t="s">
        <v>138</v>
      </c>
      <c r="D453" s="6" t="s">
        <v>1378</v>
      </c>
      <c r="E453" s="6" t="s">
        <v>1379</v>
      </c>
      <c r="F453" s="9">
        <v>45695</v>
      </c>
      <c r="G453" s="9">
        <v>45725</v>
      </c>
      <c r="H453" s="12">
        <v>-9</v>
      </c>
      <c r="I453" s="11">
        <v>78063.12</v>
      </c>
      <c r="J453" s="6" t="s">
        <v>22</v>
      </c>
      <c r="K453" s="6" t="s">
        <v>21</v>
      </c>
      <c r="L453" s="6" t="s">
        <v>21</v>
      </c>
      <c r="M453" s="2" t="str">
        <f t="shared" si="7"/>
        <v/>
      </c>
    </row>
    <row r="454" spans="1:13" x14ac:dyDescent="0.25">
      <c r="A454" s="6" t="s">
        <v>7</v>
      </c>
      <c r="B454" s="6" t="s">
        <v>137</v>
      </c>
      <c r="C454" s="6" t="s">
        <v>138</v>
      </c>
      <c r="D454" s="6" t="s">
        <v>184</v>
      </c>
      <c r="E454" s="6" t="s">
        <v>185</v>
      </c>
      <c r="F454" s="9">
        <v>45296</v>
      </c>
      <c r="G454" s="9">
        <v>45326</v>
      </c>
      <c r="H454" s="10">
        <v>390</v>
      </c>
      <c r="I454" s="11">
        <v>85700.21</v>
      </c>
      <c r="J454" s="6" t="s">
        <v>22</v>
      </c>
      <c r="K454" s="6" t="s">
        <v>149</v>
      </c>
      <c r="L454" s="6" t="s">
        <v>21</v>
      </c>
      <c r="M454" s="2">
        <f t="shared" si="7"/>
        <v>85700.21</v>
      </c>
    </row>
    <row r="455" spans="1:13" x14ac:dyDescent="0.25">
      <c r="A455" s="6" t="s">
        <v>7</v>
      </c>
      <c r="B455" s="6" t="s">
        <v>137</v>
      </c>
      <c r="C455" s="6" t="s">
        <v>138</v>
      </c>
      <c r="D455" s="6" t="s">
        <v>186</v>
      </c>
      <c r="E455" s="6" t="s">
        <v>187</v>
      </c>
      <c r="F455" s="9">
        <v>45579</v>
      </c>
      <c r="G455" s="9">
        <v>45609</v>
      </c>
      <c r="H455" s="10">
        <v>107</v>
      </c>
      <c r="I455" s="11">
        <v>256808.76</v>
      </c>
      <c r="J455" s="6" t="s">
        <v>22</v>
      </c>
      <c r="K455" s="6" t="s">
        <v>21</v>
      </c>
      <c r="L455" s="6" t="s">
        <v>21</v>
      </c>
      <c r="M455" s="2">
        <f t="shared" si="7"/>
        <v>256808.76</v>
      </c>
    </row>
    <row r="456" spans="1:13" x14ac:dyDescent="0.25">
      <c r="A456" s="6" t="s">
        <v>7</v>
      </c>
      <c r="B456" s="6" t="s">
        <v>137</v>
      </c>
      <c r="C456" s="6" t="s">
        <v>138</v>
      </c>
      <c r="D456" s="6" t="s">
        <v>188</v>
      </c>
      <c r="E456" s="6" t="s">
        <v>189</v>
      </c>
      <c r="F456" s="9">
        <v>45579</v>
      </c>
      <c r="G456" s="9">
        <v>45609</v>
      </c>
      <c r="H456" s="10">
        <v>107</v>
      </c>
      <c r="I456" s="11">
        <v>6571.58</v>
      </c>
      <c r="J456" s="6" t="s">
        <v>22</v>
      </c>
      <c r="K456" s="6" t="s">
        <v>21</v>
      </c>
      <c r="L456" s="6" t="s">
        <v>21</v>
      </c>
      <c r="M456" s="2">
        <f t="shared" si="7"/>
        <v>6571.58</v>
      </c>
    </row>
    <row r="457" spans="1:13" x14ac:dyDescent="0.25">
      <c r="A457" s="6" t="s">
        <v>7</v>
      </c>
      <c r="B457" s="6" t="s">
        <v>137</v>
      </c>
      <c r="C457" s="6" t="s">
        <v>138</v>
      </c>
      <c r="D457" s="6" t="s">
        <v>190</v>
      </c>
      <c r="E457" s="6" t="s">
        <v>191</v>
      </c>
      <c r="F457" s="9">
        <v>45645</v>
      </c>
      <c r="G457" s="9">
        <v>45675</v>
      </c>
      <c r="H457" s="10">
        <v>41</v>
      </c>
      <c r="I457" s="11">
        <v>4998</v>
      </c>
      <c r="J457" s="6" t="s">
        <v>22</v>
      </c>
      <c r="K457" s="6" t="s">
        <v>192</v>
      </c>
      <c r="L457" s="6" t="s">
        <v>21</v>
      </c>
      <c r="M457" s="2">
        <f t="shared" si="7"/>
        <v>4998</v>
      </c>
    </row>
    <row r="458" spans="1:13" x14ac:dyDescent="0.25">
      <c r="A458" s="6" t="s">
        <v>7</v>
      </c>
      <c r="B458" s="6" t="s">
        <v>137</v>
      </c>
      <c r="C458" s="6" t="s">
        <v>138</v>
      </c>
      <c r="D458" s="6" t="s">
        <v>193</v>
      </c>
      <c r="E458" s="6" t="s">
        <v>194</v>
      </c>
      <c r="F458" s="9">
        <v>45291</v>
      </c>
      <c r="G458" s="9">
        <v>45331</v>
      </c>
      <c r="H458" s="10">
        <v>385</v>
      </c>
      <c r="I458" s="11">
        <v>28457.95</v>
      </c>
      <c r="J458" s="6" t="s">
        <v>22</v>
      </c>
      <c r="K458" s="6" t="s">
        <v>149</v>
      </c>
      <c r="L458" s="6" t="s">
        <v>21</v>
      </c>
      <c r="M458" s="2">
        <f t="shared" si="7"/>
        <v>28457.95</v>
      </c>
    </row>
    <row r="459" spans="1:13" x14ac:dyDescent="0.25">
      <c r="A459" s="6" t="s">
        <v>7</v>
      </c>
      <c r="B459" s="6" t="s">
        <v>137</v>
      </c>
      <c r="C459" s="6" t="s">
        <v>138</v>
      </c>
      <c r="D459" s="6" t="s">
        <v>195</v>
      </c>
      <c r="E459" s="6" t="s">
        <v>196</v>
      </c>
      <c r="F459" s="9">
        <v>45322</v>
      </c>
      <c r="G459" s="9">
        <v>45354</v>
      </c>
      <c r="H459" s="10">
        <v>362</v>
      </c>
      <c r="I459" s="11">
        <v>11571.56</v>
      </c>
      <c r="J459" s="6" t="s">
        <v>22</v>
      </c>
      <c r="K459" s="6" t="s">
        <v>149</v>
      </c>
      <c r="L459" s="6" t="s">
        <v>21</v>
      </c>
      <c r="M459" s="2">
        <f t="shared" si="7"/>
        <v>11571.56</v>
      </c>
    </row>
    <row r="460" spans="1:13" x14ac:dyDescent="0.25">
      <c r="A460" s="6" t="s">
        <v>7</v>
      </c>
      <c r="B460" s="6" t="s">
        <v>137</v>
      </c>
      <c r="C460" s="6" t="s">
        <v>138</v>
      </c>
      <c r="D460" s="6" t="s">
        <v>197</v>
      </c>
      <c r="E460" s="6" t="s">
        <v>198</v>
      </c>
      <c r="F460" s="9">
        <v>45618</v>
      </c>
      <c r="G460" s="9">
        <v>45648</v>
      </c>
      <c r="H460" s="10">
        <v>68</v>
      </c>
      <c r="I460" s="11">
        <v>88042.75</v>
      </c>
      <c r="J460" s="6" t="s">
        <v>22</v>
      </c>
      <c r="K460" s="6" t="s">
        <v>21</v>
      </c>
      <c r="L460" s="6" t="s">
        <v>21</v>
      </c>
      <c r="M460" s="2">
        <f t="shared" si="7"/>
        <v>88042.75</v>
      </c>
    </row>
    <row r="461" spans="1:13" x14ac:dyDescent="0.25">
      <c r="A461" s="6" t="s">
        <v>7</v>
      </c>
      <c r="B461" s="6" t="s">
        <v>137</v>
      </c>
      <c r="C461" s="6" t="s">
        <v>138</v>
      </c>
      <c r="D461" s="6" t="s">
        <v>199</v>
      </c>
      <c r="E461" s="6" t="s">
        <v>200</v>
      </c>
      <c r="F461" s="9">
        <v>45634</v>
      </c>
      <c r="G461" s="9">
        <v>45664</v>
      </c>
      <c r="H461" s="10">
        <v>52</v>
      </c>
      <c r="I461" s="11">
        <v>22292.87</v>
      </c>
      <c r="J461" s="6" t="s">
        <v>22</v>
      </c>
      <c r="K461" s="6" t="s">
        <v>201</v>
      </c>
      <c r="L461" s="6" t="s">
        <v>21</v>
      </c>
      <c r="M461" s="2">
        <f t="shared" si="7"/>
        <v>22292.87</v>
      </c>
    </row>
    <row r="462" spans="1:13" x14ac:dyDescent="0.25">
      <c r="A462" s="6" t="s">
        <v>7</v>
      </c>
      <c r="B462" s="6" t="s">
        <v>137</v>
      </c>
      <c r="C462" s="6" t="s">
        <v>138</v>
      </c>
      <c r="D462" s="6" t="s">
        <v>202</v>
      </c>
      <c r="E462" s="6" t="s">
        <v>203</v>
      </c>
      <c r="F462" s="9">
        <v>45656</v>
      </c>
      <c r="G462" s="9">
        <v>45656</v>
      </c>
      <c r="H462" s="10">
        <v>60</v>
      </c>
      <c r="I462" s="13">
        <v>-1265.4000000000001</v>
      </c>
      <c r="J462" s="6" t="s">
        <v>22</v>
      </c>
      <c r="K462" s="6" t="s">
        <v>204</v>
      </c>
      <c r="L462" s="6" t="s">
        <v>21</v>
      </c>
      <c r="M462" s="2">
        <f t="shared" si="7"/>
        <v>-1265.4000000000001</v>
      </c>
    </row>
    <row r="463" spans="1:13" x14ac:dyDescent="0.25">
      <c r="A463" s="6" t="s">
        <v>7</v>
      </c>
      <c r="B463" s="6" t="s">
        <v>137</v>
      </c>
      <c r="C463" s="6" t="s">
        <v>138</v>
      </c>
      <c r="D463" s="6" t="s">
        <v>205</v>
      </c>
      <c r="E463" s="6" t="s">
        <v>206</v>
      </c>
      <c r="F463" s="9">
        <v>45656</v>
      </c>
      <c r="G463" s="9">
        <v>45686</v>
      </c>
      <c r="H463" s="10">
        <v>30</v>
      </c>
      <c r="I463" s="13">
        <v>-8928.69</v>
      </c>
      <c r="J463" s="6" t="s">
        <v>22</v>
      </c>
      <c r="K463" s="6" t="s">
        <v>21</v>
      </c>
      <c r="L463" s="6" t="s">
        <v>21</v>
      </c>
      <c r="M463" s="2">
        <f t="shared" si="7"/>
        <v>-8928.69</v>
      </c>
    </row>
    <row r="464" spans="1:13" x14ac:dyDescent="0.25">
      <c r="A464" s="6" t="s">
        <v>7</v>
      </c>
      <c r="B464" s="6" t="s">
        <v>137</v>
      </c>
      <c r="C464" s="6" t="s">
        <v>138</v>
      </c>
      <c r="D464" s="6" t="s">
        <v>207</v>
      </c>
      <c r="E464" s="6" t="s">
        <v>208</v>
      </c>
      <c r="F464" s="9">
        <v>45656</v>
      </c>
      <c r="G464" s="9">
        <v>45686</v>
      </c>
      <c r="H464" s="10">
        <v>30</v>
      </c>
      <c r="I464" s="11">
        <v>0.02</v>
      </c>
      <c r="J464" s="6" t="s">
        <v>22</v>
      </c>
      <c r="K464" s="6" t="s">
        <v>21</v>
      </c>
      <c r="L464" s="6" t="s">
        <v>21</v>
      </c>
      <c r="M464" s="2">
        <f t="shared" si="7"/>
        <v>0.02</v>
      </c>
    </row>
    <row r="465" spans="1:13" x14ac:dyDescent="0.25">
      <c r="A465" s="6" t="s">
        <v>7</v>
      </c>
      <c r="B465" s="6" t="s">
        <v>137</v>
      </c>
      <c r="C465" s="6" t="s">
        <v>138</v>
      </c>
      <c r="D465" s="6" t="s">
        <v>209</v>
      </c>
      <c r="E465" s="6" t="s">
        <v>210</v>
      </c>
      <c r="F465" s="9">
        <v>45656</v>
      </c>
      <c r="G465" s="9">
        <v>45656</v>
      </c>
      <c r="H465" s="10">
        <v>60</v>
      </c>
      <c r="I465" s="13">
        <v>-22168.91</v>
      </c>
      <c r="J465" s="6" t="s">
        <v>22</v>
      </c>
      <c r="K465" s="6" t="s">
        <v>211</v>
      </c>
      <c r="L465" s="6" t="s">
        <v>21</v>
      </c>
      <c r="M465" s="2">
        <f t="shared" si="7"/>
        <v>-22168.91</v>
      </c>
    </row>
    <row r="466" spans="1:13" x14ac:dyDescent="0.25">
      <c r="A466" s="6" t="s">
        <v>7</v>
      </c>
      <c r="B466" s="6" t="s">
        <v>137</v>
      </c>
      <c r="C466" s="6" t="s">
        <v>138</v>
      </c>
      <c r="D466" s="6" t="s">
        <v>212</v>
      </c>
      <c r="E466" s="6" t="s">
        <v>213</v>
      </c>
      <c r="F466" s="9">
        <v>45656</v>
      </c>
      <c r="G466" s="9">
        <v>45656</v>
      </c>
      <c r="H466" s="10">
        <v>60</v>
      </c>
      <c r="I466" s="13">
        <v>-5502.49</v>
      </c>
      <c r="J466" s="6" t="s">
        <v>22</v>
      </c>
      <c r="K466" s="6" t="s">
        <v>214</v>
      </c>
      <c r="L466" s="6" t="s">
        <v>21</v>
      </c>
      <c r="M466" s="2">
        <f t="shared" si="7"/>
        <v>-5502.49</v>
      </c>
    </row>
    <row r="467" spans="1:13" x14ac:dyDescent="0.25">
      <c r="A467" s="6" t="s">
        <v>7</v>
      </c>
      <c r="B467" s="6" t="s">
        <v>137</v>
      </c>
      <c r="C467" s="6" t="s">
        <v>138</v>
      </c>
      <c r="D467" s="6" t="s">
        <v>215</v>
      </c>
      <c r="E467" s="6" t="s">
        <v>216</v>
      </c>
      <c r="F467" s="9">
        <v>45656</v>
      </c>
      <c r="G467" s="9">
        <v>45656</v>
      </c>
      <c r="H467" s="10">
        <v>60</v>
      </c>
      <c r="I467" s="13">
        <v>-200554.34000000003</v>
      </c>
      <c r="J467" s="6" t="s">
        <v>22</v>
      </c>
      <c r="K467" s="6" t="s">
        <v>217</v>
      </c>
      <c r="L467" s="6" t="s">
        <v>21</v>
      </c>
      <c r="M467" s="2">
        <f t="shared" si="7"/>
        <v>-200554.34000000003</v>
      </c>
    </row>
    <row r="468" spans="1:13" x14ac:dyDescent="0.25">
      <c r="A468" s="6" t="s">
        <v>7</v>
      </c>
      <c r="B468" s="6" t="s">
        <v>137</v>
      </c>
      <c r="C468" s="6" t="s">
        <v>138</v>
      </c>
      <c r="D468" s="6" t="s">
        <v>218</v>
      </c>
      <c r="E468" s="6" t="s">
        <v>219</v>
      </c>
      <c r="F468" s="9">
        <v>45657</v>
      </c>
      <c r="G468" s="9">
        <v>45690</v>
      </c>
      <c r="H468" s="10">
        <v>26</v>
      </c>
      <c r="I468" s="11">
        <v>19869.73</v>
      </c>
      <c r="J468" s="6" t="s">
        <v>22</v>
      </c>
      <c r="K468" s="6" t="s">
        <v>201</v>
      </c>
      <c r="L468" s="6" t="s">
        <v>21</v>
      </c>
      <c r="M468" s="2">
        <f t="shared" si="7"/>
        <v>19869.73</v>
      </c>
    </row>
    <row r="469" spans="1:13" x14ac:dyDescent="0.25">
      <c r="A469" s="6" t="s">
        <v>7</v>
      </c>
      <c r="B469" s="6" t="s">
        <v>137</v>
      </c>
      <c r="C469" s="6" t="s">
        <v>138</v>
      </c>
      <c r="D469" s="6" t="s">
        <v>220</v>
      </c>
      <c r="E469" s="6" t="s">
        <v>221</v>
      </c>
      <c r="F469" s="9">
        <v>45657</v>
      </c>
      <c r="G469" s="9">
        <v>45690</v>
      </c>
      <c r="H469" s="10">
        <v>26</v>
      </c>
      <c r="I469" s="11">
        <v>12610.32</v>
      </c>
      <c r="J469" s="6" t="s">
        <v>22</v>
      </c>
      <c r="K469" s="6" t="s">
        <v>222</v>
      </c>
      <c r="L469" s="6" t="s">
        <v>21</v>
      </c>
      <c r="M469" s="2">
        <f t="shared" si="7"/>
        <v>12610.32</v>
      </c>
    </row>
    <row r="470" spans="1:13" x14ac:dyDescent="0.25">
      <c r="A470" s="6" t="s">
        <v>7</v>
      </c>
      <c r="B470" s="6" t="s">
        <v>137</v>
      </c>
      <c r="C470" s="6" t="s">
        <v>138</v>
      </c>
      <c r="D470" s="6" t="s">
        <v>223</v>
      </c>
      <c r="E470" s="6" t="s">
        <v>224</v>
      </c>
      <c r="F470" s="9">
        <v>45664</v>
      </c>
      <c r="G470" s="9">
        <v>45664</v>
      </c>
      <c r="H470" s="10">
        <v>52</v>
      </c>
      <c r="I470" s="13">
        <v>-200554.33999999997</v>
      </c>
      <c r="J470" s="6" t="s">
        <v>22</v>
      </c>
      <c r="K470" s="6" t="s">
        <v>21</v>
      </c>
      <c r="L470" s="6" t="s">
        <v>21</v>
      </c>
      <c r="M470" s="2">
        <f t="shared" si="7"/>
        <v>-200554.33999999997</v>
      </c>
    </row>
    <row r="471" spans="1:13" x14ac:dyDescent="0.25">
      <c r="A471" s="6" t="s">
        <v>7</v>
      </c>
      <c r="B471" s="6" t="s">
        <v>137</v>
      </c>
      <c r="C471" s="6" t="s">
        <v>138</v>
      </c>
      <c r="D471" s="6" t="s">
        <v>1380</v>
      </c>
      <c r="E471" s="6" t="s">
        <v>1381</v>
      </c>
      <c r="F471" s="9">
        <v>45687</v>
      </c>
      <c r="G471" s="9">
        <v>45717</v>
      </c>
      <c r="H471" s="12">
        <v>-1</v>
      </c>
      <c r="I471" s="11">
        <v>38526.25</v>
      </c>
      <c r="J471" s="6" t="s">
        <v>22</v>
      </c>
      <c r="K471" s="6" t="s">
        <v>1382</v>
      </c>
      <c r="L471" s="6" t="s">
        <v>21</v>
      </c>
      <c r="M471" s="2" t="str">
        <f t="shared" si="7"/>
        <v/>
      </c>
    </row>
    <row r="472" spans="1:13" x14ac:dyDescent="0.25">
      <c r="A472" s="6" t="s">
        <v>7</v>
      </c>
      <c r="B472" s="6" t="s">
        <v>137</v>
      </c>
      <c r="C472" s="6" t="s">
        <v>138</v>
      </c>
      <c r="D472" s="6" t="s">
        <v>1383</v>
      </c>
      <c r="E472" s="6" t="s">
        <v>1384</v>
      </c>
      <c r="F472" s="9">
        <v>45688</v>
      </c>
      <c r="G472" s="9">
        <v>45722</v>
      </c>
      <c r="H472" s="12">
        <v>-6</v>
      </c>
      <c r="I472" s="11">
        <v>40327.620000000003</v>
      </c>
      <c r="J472" s="6" t="s">
        <v>22</v>
      </c>
      <c r="K472" s="6" t="s">
        <v>222</v>
      </c>
      <c r="L472" s="6" t="s">
        <v>21</v>
      </c>
      <c r="M472" s="2" t="str">
        <f t="shared" si="7"/>
        <v/>
      </c>
    </row>
    <row r="473" spans="1:13" x14ac:dyDescent="0.25">
      <c r="A473" s="6" t="s">
        <v>7</v>
      </c>
      <c r="B473" s="6" t="s">
        <v>137</v>
      </c>
      <c r="C473" s="6" t="s">
        <v>138</v>
      </c>
      <c r="D473" s="6" t="s">
        <v>225</v>
      </c>
      <c r="E473" s="6" t="s">
        <v>21</v>
      </c>
      <c r="F473" s="9">
        <v>45636</v>
      </c>
      <c r="G473" s="9">
        <v>45628</v>
      </c>
      <c r="H473" s="10">
        <v>88</v>
      </c>
      <c r="I473" s="13">
        <v>-1298763.45</v>
      </c>
      <c r="J473" s="6" t="s">
        <v>22</v>
      </c>
      <c r="K473" s="6" t="s">
        <v>21</v>
      </c>
      <c r="L473" s="6" t="s">
        <v>21</v>
      </c>
      <c r="M473" s="2">
        <f t="shared" si="7"/>
        <v>-1298763.45</v>
      </c>
    </row>
    <row r="474" spans="1:13" x14ac:dyDescent="0.25">
      <c r="A474" s="6" t="s">
        <v>7</v>
      </c>
      <c r="B474" s="6" t="s">
        <v>226</v>
      </c>
      <c r="C474" s="6" t="s">
        <v>227</v>
      </c>
      <c r="D474" s="6" t="s">
        <v>228</v>
      </c>
      <c r="E474" s="6" t="s">
        <v>21</v>
      </c>
      <c r="F474" s="9">
        <v>45636</v>
      </c>
      <c r="G474" s="9">
        <v>45636</v>
      </c>
      <c r="H474" s="10">
        <v>80</v>
      </c>
      <c r="I474" s="13">
        <v>-270.14999999999998</v>
      </c>
      <c r="J474" s="6" t="s">
        <v>22</v>
      </c>
      <c r="K474" s="6" t="s">
        <v>229</v>
      </c>
      <c r="L474" s="6" t="s">
        <v>21</v>
      </c>
      <c r="M474" s="2">
        <f t="shared" si="7"/>
        <v>-270.14999999999998</v>
      </c>
    </row>
    <row r="475" spans="1:13" x14ac:dyDescent="0.25">
      <c r="A475" s="6" t="s">
        <v>7</v>
      </c>
      <c r="B475" s="6" t="s">
        <v>226</v>
      </c>
      <c r="C475" s="6" t="s">
        <v>227</v>
      </c>
      <c r="D475" s="6" t="s">
        <v>230</v>
      </c>
      <c r="E475" s="6" t="s">
        <v>21</v>
      </c>
      <c r="F475" s="9">
        <v>45659</v>
      </c>
      <c r="G475" s="9">
        <v>45659</v>
      </c>
      <c r="H475" s="10">
        <v>57</v>
      </c>
      <c r="I475" s="13">
        <v>-19675.2</v>
      </c>
      <c r="J475" s="6" t="s">
        <v>22</v>
      </c>
      <c r="K475" s="6" t="s">
        <v>231</v>
      </c>
      <c r="L475" s="6" t="s">
        <v>21</v>
      </c>
      <c r="M475" s="2">
        <f t="shared" si="7"/>
        <v>-19675.2</v>
      </c>
    </row>
    <row r="476" spans="1:13" x14ac:dyDescent="0.25">
      <c r="A476" s="6" t="s">
        <v>7</v>
      </c>
      <c r="B476" s="6" t="s">
        <v>226</v>
      </c>
      <c r="C476" s="6" t="s">
        <v>227</v>
      </c>
      <c r="D476" s="6" t="s">
        <v>1385</v>
      </c>
      <c r="E476" s="6" t="s">
        <v>21</v>
      </c>
      <c r="F476" s="9">
        <v>45692</v>
      </c>
      <c r="G476" s="9">
        <v>45692</v>
      </c>
      <c r="H476" s="10">
        <v>24</v>
      </c>
      <c r="I476" s="13">
        <v>-73822.63</v>
      </c>
      <c r="J476" s="6" t="s">
        <v>22</v>
      </c>
      <c r="K476" s="6" t="s">
        <v>231</v>
      </c>
      <c r="L476" s="6" t="s">
        <v>21</v>
      </c>
      <c r="M476" s="2">
        <f t="shared" si="7"/>
        <v>-73822.63</v>
      </c>
    </row>
    <row r="477" spans="1:13" x14ac:dyDescent="0.25">
      <c r="A477" s="6" t="s">
        <v>7</v>
      </c>
      <c r="B477" s="6" t="s">
        <v>226</v>
      </c>
      <c r="C477" s="6" t="s">
        <v>227</v>
      </c>
      <c r="D477" s="6" t="s">
        <v>232</v>
      </c>
      <c r="E477" s="6" t="s">
        <v>233</v>
      </c>
      <c r="F477" s="9">
        <v>45646</v>
      </c>
      <c r="G477" s="9">
        <v>45676</v>
      </c>
      <c r="H477" s="10">
        <v>40</v>
      </c>
      <c r="I477" s="11">
        <v>999.6</v>
      </c>
      <c r="J477" s="6" t="s">
        <v>22</v>
      </c>
      <c r="K477" s="6" t="s">
        <v>234</v>
      </c>
      <c r="L477" s="6" t="s">
        <v>21</v>
      </c>
      <c r="M477" s="2">
        <f t="shared" si="7"/>
        <v>999.6</v>
      </c>
    </row>
    <row r="478" spans="1:13" x14ac:dyDescent="0.25">
      <c r="A478" s="6" t="s">
        <v>7</v>
      </c>
      <c r="B478" s="6" t="s">
        <v>226</v>
      </c>
      <c r="C478" s="6" t="s">
        <v>227</v>
      </c>
      <c r="D478" s="6" t="s">
        <v>235</v>
      </c>
      <c r="E478" s="6" t="s">
        <v>236</v>
      </c>
      <c r="F478" s="9">
        <v>45660</v>
      </c>
      <c r="G478" s="9">
        <v>45720</v>
      </c>
      <c r="H478" s="12">
        <v>-4</v>
      </c>
      <c r="I478" s="11">
        <v>3424511.61</v>
      </c>
      <c r="J478" s="6" t="s">
        <v>22</v>
      </c>
      <c r="K478" s="6" t="s">
        <v>21</v>
      </c>
      <c r="L478" s="6" t="s">
        <v>21</v>
      </c>
      <c r="M478" s="2" t="str">
        <f t="shared" si="7"/>
        <v/>
      </c>
    </row>
    <row r="479" spans="1:13" x14ac:dyDescent="0.25">
      <c r="A479" s="6" t="s">
        <v>7</v>
      </c>
      <c r="B479" s="6" t="s">
        <v>226</v>
      </c>
      <c r="C479" s="6" t="s">
        <v>227</v>
      </c>
      <c r="D479" s="6" t="s">
        <v>237</v>
      </c>
      <c r="E479" s="6" t="s">
        <v>238</v>
      </c>
      <c r="F479" s="9">
        <v>45673</v>
      </c>
      <c r="G479" s="9">
        <v>45718</v>
      </c>
      <c r="H479" s="12">
        <v>-2</v>
      </c>
      <c r="I479" s="11">
        <v>484404.38</v>
      </c>
      <c r="J479" s="6" t="s">
        <v>22</v>
      </c>
      <c r="K479" s="6" t="s">
        <v>21</v>
      </c>
      <c r="L479" s="6" t="s">
        <v>21</v>
      </c>
      <c r="M479" s="2" t="str">
        <f t="shared" si="7"/>
        <v/>
      </c>
    </row>
    <row r="480" spans="1:13" x14ac:dyDescent="0.25">
      <c r="A480" s="6" t="s">
        <v>7</v>
      </c>
      <c r="B480" s="6" t="s">
        <v>226</v>
      </c>
      <c r="C480" s="6" t="s">
        <v>227</v>
      </c>
      <c r="D480" s="6" t="s">
        <v>239</v>
      </c>
      <c r="E480" s="6" t="s">
        <v>240</v>
      </c>
      <c r="F480" s="9">
        <v>45662</v>
      </c>
      <c r="G480" s="9">
        <v>45676</v>
      </c>
      <c r="H480" s="10">
        <v>40</v>
      </c>
      <c r="I480" s="11">
        <v>57025.4</v>
      </c>
      <c r="J480" s="6" t="s">
        <v>22</v>
      </c>
      <c r="K480" s="6" t="s">
        <v>21</v>
      </c>
      <c r="L480" s="6" t="s">
        <v>21</v>
      </c>
      <c r="M480" s="2">
        <f t="shared" si="7"/>
        <v>57025.4</v>
      </c>
    </row>
    <row r="481" spans="1:13" x14ac:dyDescent="0.25">
      <c r="A481" s="6" t="s">
        <v>7</v>
      </c>
      <c r="B481" s="6" t="s">
        <v>226</v>
      </c>
      <c r="C481" s="6" t="s">
        <v>227</v>
      </c>
      <c r="D481" s="6" t="s">
        <v>241</v>
      </c>
      <c r="E481" s="6" t="s">
        <v>242</v>
      </c>
      <c r="F481" s="9">
        <v>45662</v>
      </c>
      <c r="G481" s="9">
        <v>45692</v>
      </c>
      <c r="H481" s="10">
        <v>24</v>
      </c>
      <c r="I481" s="11">
        <v>74970</v>
      </c>
      <c r="J481" s="6" t="s">
        <v>22</v>
      </c>
      <c r="K481" s="6" t="s">
        <v>21</v>
      </c>
      <c r="L481" s="6" t="s">
        <v>21</v>
      </c>
      <c r="M481" s="2">
        <f t="shared" si="7"/>
        <v>74970</v>
      </c>
    </row>
    <row r="482" spans="1:13" x14ac:dyDescent="0.25">
      <c r="A482" s="6" t="s">
        <v>7</v>
      </c>
      <c r="B482" s="6" t="s">
        <v>226</v>
      </c>
      <c r="C482" s="6" t="s">
        <v>227</v>
      </c>
      <c r="D482" s="6" t="s">
        <v>243</v>
      </c>
      <c r="E482" s="6" t="s">
        <v>244</v>
      </c>
      <c r="F482" s="9">
        <v>45662</v>
      </c>
      <c r="G482" s="9">
        <v>45722</v>
      </c>
      <c r="H482" s="12">
        <v>-6</v>
      </c>
      <c r="I482" s="11">
        <v>308770.59000000003</v>
      </c>
      <c r="J482" s="6" t="s">
        <v>22</v>
      </c>
      <c r="K482" s="6" t="s">
        <v>21</v>
      </c>
      <c r="L482" s="6" t="s">
        <v>21</v>
      </c>
      <c r="M482" s="2" t="str">
        <f t="shared" si="7"/>
        <v/>
      </c>
    </row>
    <row r="483" spans="1:13" x14ac:dyDescent="0.25">
      <c r="A483" s="6" t="s">
        <v>7</v>
      </c>
      <c r="B483" s="6" t="s">
        <v>226</v>
      </c>
      <c r="C483" s="6" t="s">
        <v>227</v>
      </c>
      <c r="D483" s="6" t="s">
        <v>245</v>
      </c>
      <c r="E483" s="6" t="s">
        <v>246</v>
      </c>
      <c r="F483" s="9">
        <v>45626</v>
      </c>
      <c r="G483" s="9">
        <v>45659</v>
      </c>
      <c r="H483" s="10">
        <v>57</v>
      </c>
      <c r="I483" s="11">
        <v>68507.710000000006</v>
      </c>
      <c r="J483" s="6" t="s">
        <v>22</v>
      </c>
      <c r="K483" s="6" t="s">
        <v>1386</v>
      </c>
      <c r="L483" s="6" t="s">
        <v>21</v>
      </c>
      <c r="M483" s="2">
        <f t="shared" si="7"/>
        <v>68507.710000000006</v>
      </c>
    </row>
    <row r="484" spans="1:13" x14ac:dyDescent="0.25">
      <c r="A484" s="6" t="s">
        <v>7</v>
      </c>
      <c r="B484" s="6" t="s">
        <v>226</v>
      </c>
      <c r="C484" s="6" t="s">
        <v>227</v>
      </c>
      <c r="D484" s="6" t="s">
        <v>1387</v>
      </c>
      <c r="E484" s="6" t="s">
        <v>1388</v>
      </c>
      <c r="F484" s="9">
        <v>45709</v>
      </c>
      <c r="G484" s="9">
        <v>45723</v>
      </c>
      <c r="H484" s="12">
        <v>-7</v>
      </c>
      <c r="I484" s="11">
        <v>23780.32</v>
      </c>
      <c r="J484" s="6" t="s">
        <v>22</v>
      </c>
      <c r="K484" s="6" t="s">
        <v>21</v>
      </c>
      <c r="L484" s="6" t="s">
        <v>21</v>
      </c>
      <c r="M484" s="2" t="str">
        <f t="shared" si="7"/>
        <v/>
      </c>
    </row>
    <row r="485" spans="1:13" x14ac:dyDescent="0.25">
      <c r="A485" s="6" t="s">
        <v>7</v>
      </c>
      <c r="B485" s="6" t="s">
        <v>226</v>
      </c>
      <c r="C485" s="6" t="s">
        <v>227</v>
      </c>
      <c r="D485" s="6" t="s">
        <v>247</v>
      </c>
      <c r="E485" s="6" t="s">
        <v>248</v>
      </c>
      <c r="F485" s="9">
        <v>45657</v>
      </c>
      <c r="G485" s="9">
        <v>45690</v>
      </c>
      <c r="H485" s="10">
        <v>26</v>
      </c>
      <c r="I485" s="11">
        <v>960.95</v>
      </c>
      <c r="J485" s="6" t="s">
        <v>22</v>
      </c>
      <c r="K485" s="6" t="s">
        <v>1386</v>
      </c>
      <c r="L485" s="6" t="s">
        <v>21</v>
      </c>
      <c r="M485" s="2">
        <f t="shared" si="7"/>
        <v>960.95</v>
      </c>
    </row>
    <row r="486" spans="1:13" x14ac:dyDescent="0.25">
      <c r="A486" s="6" t="s">
        <v>7</v>
      </c>
      <c r="B486" s="6" t="s">
        <v>226</v>
      </c>
      <c r="C486" s="6" t="s">
        <v>227</v>
      </c>
      <c r="D486" s="6" t="s">
        <v>249</v>
      </c>
      <c r="E486" s="6" t="s">
        <v>250</v>
      </c>
      <c r="F486" s="9">
        <v>45657</v>
      </c>
      <c r="G486" s="9">
        <v>45690</v>
      </c>
      <c r="H486" s="10">
        <v>26</v>
      </c>
      <c r="I486" s="11">
        <v>4422.37</v>
      </c>
      <c r="J486" s="6" t="s">
        <v>22</v>
      </c>
      <c r="K486" s="6" t="s">
        <v>1386</v>
      </c>
      <c r="L486" s="6" t="s">
        <v>21</v>
      </c>
      <c r="M486" s="2">
        <f t="shared" si="7"/>
        <v>4422.37</v>
      </c>
    </row>
    <row r="487" spans="1:13" x14ac:dyDescent="0.25">
      <c r="A487" s="6" t="s">
        <v>7</v>
      </c>
      <c r="B487" s="6" t="s">
        <v>226</v>
      </c>
      <c r="C487" s="6" t="s">
        <v>227</v>
      </c>
      <c r="D487" s="6" t="s">
        <v>251</v>
      </c>
      <c r="E487" s="6" t="s">
        <v>252</v>
      </c>
      <c r="F487" s="9">
        <v>45657</v>
      </c>
      <c r="G487" s="9">
        <v>45690</v>
      </c>
      <c r="H487" s="10">
        <v>26</v>
      </c>
      <c r="I487" s="11">
        <v>550.38</v>
      </c>
      <c r="J487" s="6" t="s">
        <v>22</v>
      </c>
      <c r="K487" s="6" t="s">
        <v>1386</v>
      </c>
      <c r="L487" s="6" t="s">
        <v>21</v>
      </c>
      <c r="M487" s="2">
        <f t="shared" si="7"/>
        <v>550.38</v>
      </c>
    </row>
    <row r="488" spans="1:13" x14ac:dyDescent="0.25">
      <c r="A488" s="6" t="s">
        <v>7</v>
      </c>
      <c r="B488" s="6" t="s">
        <v>226</v>
      </c>
      <c r="C488" s="6" t="s">
        <v>227</v>
      </c>
      <c r="D488" s="6" t="s">
        <v>253</v>
      </c>
      <c r="E488" s="6" t="s">
        <v>254</v>
      </c>
      <c r="F488" s="9">
        <v>45657</v>
      </c>
      <c r="G488" s="9">
        <v>45690</v>
      </c>
      <c r="H488" s="10">
        <v>26</v>
      </c>
      <c r="I488" s="11">
        <v>3242.75</v>
      </c>
      <c r="J488" s="6" t="s">
        <v>22</v>
      </c>
      <c r="K488" s="6" t="s">
        <v>1386</v>
      </c>
      <c r="L488" s="6" t="s">
        <v>21</v>
      </c>
      <c r="M488" s="2">
        <f t="shared" si="7"/>
        <v>3242.75</v>
      </c>
    </row>
    <row r="489" spans="1:13" x14ac:dyDescent="0.25">
      <c r="A489" s="6" t="s">
        <v>7</v>
      </c>
      <c r="B489" s="6" t="s">
        <v>226</v>
      </c>
      <c r="C489" s="6" t="s">
        <v>227</v>
      </c>
      <c r="D489" s="6" t="s">
        <v>255</v>
      </c>
      <c r="E489" s="6" t="s">
        <v>256</v>
      </c>
      <c r="F489" s="9">
        <v>45657</v>
      </c>
      <c r="G489" s="9">
        <v>45690</v>
      </c>
      <c r="H489" s="10">
        <v>26</v>
      </c>
      <c r="I489" s="11">
        <v>36850.660000000003</v>
      </c>
      <c r="J489" s="6" t="s">
        <v>22</v>
      </c>
      <c r="K489" s="6" t="s">
        <v>1386</v>
      </c>
      <c r="L489" s="6" t="s">
        <v>21</v>
      </c>
      <c r="M489" s="2">
        <f t="shared" si="7"/>
        <v>36850.660000000003</v>
      </c>
    </row>
    <row r="490" spans="1:13" x14ac:dyDescent="0.25">
      <c r="A490" s="6" t="s">
        <v>7</v>
      </c>
      <c r="B490" s="6" t="s">
        <v>226</v>
      </c>
      <c r="C490" s="6" t="s">
        <v>227</v>
      </c>
      <c r="D490" s="6" t="s">
        <v>257</v>
      </c>
      <c r="E490" s="6" t="s">
        <v>258</v>
      </c>
      <c r="F490" s="9">
        <v>45657</v>
      </c>
      <c r="G490" s="9">
        <v>45689</v>
      </c>
      <c r="H490" s="10">
        <v>27</v>
      </c>
      <c r="I490" s="11">
        <v>103268.2</v>
      </c>
      <c r="J490" s="6" t="s">
        <v>22</v>
      </c>
      <c r="K490" s="6" t="s">
        <v>1386</v>
      </c>
      <c r="L490" s="6" t="s">
        <v>21</v>
      </c>
      <c r="M490" s="2">
        <f t="shared" si="7"/>
        <v>103268.2</v>
      </c>
    </row>
    <row r="491" spans="1:13" x14ac:dyDescent="0.25">
      <c r="A491" s="6" t="s">
        <v>7</v>
      </c>
      <c r="B491" s="6" t="s">
        <v>226</v>
      </c>
      <c r="C491" s="6" t="s">
        <v>227</v>
      </c>
      <c r="D491" s="6" t="s">
        <v>1389</v>
      </c>
      <c r="E491" s="6" t="s">
        <v>1390</v>
      </c>
      <c r="F491" s="9">
        <v>45695</v>
      </c>
      <c r="G491" s="9">
        <v>45725</v>
      </c>
      <c r="H491" s="12">
        <v>-9</v>
      </c>
      <c r="I491" s="11">
        <v>50940.18</v>
      </c>
      <c r="J491" s="6" t="s">
        <v>22</v>
      </c>
      <c r="K491" s="6" t="s">
        <v>21</v>
      </c>
      <c r="L491" s="6" t="s">
        <v>21</v>
      </c>
      <c r="M491" s="2" t="str">
        <f t="shared" si="7"/>
        <v/>
      </c>
    </row>
    <row r="492" spans="1:13" x14ac:dyDescent="0.25">
      <c r="A492" s="6" t="s">
        <v>7</v>
      </c>
      <c r="B492" s="6" t="s">
        <v>226</v>
      </c>
      <c r="C492" s="6" t="s">
        <v>227</v>
      </c>
      <c r="D492" s="6" t="s">
        <v>1391</v>
      </c>
      <c r="E492" s="6" t="s">
        <v>1392</v>
      </c>
      <c r="F492" s="9">
        <v>45695</v>
      </c>
      <c r="G492" s="9">
        <v>45725</v>
      </c>
      <c r="H492" s="12">
        <v>-9</v>
      </c>
      <c r="I492" s="11">
        <v>6467.21</v>
      </c>
      <c r="J492" s="6" t="s">
        <v>22</v>
      </c>
      <c r="K492" s="6" t="s">
        <v>21</v>
      </c>
      <c r="L492" s="6" t="s">
        <v>21</v>
      </c>
      <c r="M492" s="2" t="str">
        <f t="shared" si="7"/>
        <v/>
      </c>
    </row>
    <row r="493" spans="1:13" x14ac:dyDescent="0.25">
      <c r="A493" s="6" t="s">
        <v>7</v>
      </c>
      <c r="B493" s="6" t="s">
        <v>226</v>
      </c>
      <c r="C493" s="6" t="s">
        <v>227</v>
      </c>
      <c r="D493" s="6" t="s">
        <v>1393</v>
      </c>
      <c r="E493" s="6" t="s">
        <v>1394</v>
      </c>
      <c r="F493" s="9">
        <v>45695</v>
      </c>
      <c r="G493" s="9">
        <v>45725</v>
      </c>
      <c r="H493" s="12">
        <v>-9</v>
      </c>
      <c r="I493" s="11">
        <v>94561.05</v>
      </c>
      <c r="J493" s="6" t="s">
        <v>22</v>
      </c>
      <c r="K493" s="6" t="s">
        <v>21</v>
      </c>
      <c r="L493" s="6" t="s">
        <v>21</v>
      </c>
      <c r="M493" s="2" t="str">
        <f t="shared" si="7"/>
        <v/>
      </c>
    </row>
    <row r="494" spans="1:13" x14ac:dyDescent="0.25">
      <c r="A494" s="6" t="s">
        <v>7</v>
      </c>
      <c r="B494" s="6" t="s">
        <v>226</v>
      </c>
      <c r="C494" s="6" t="s">
        <v>227</v>
      </c>
      <c r="D494" s="6" t="s">
        <v>1395</v>
      </c>
      <c r="E494" s="6" t="s">
        <v>1396</v>
      </c>
      <c r="F494" s="9">
        <v>45695</v>
      </c>
      <c r="G494" s="9">
        <v>45709</v>
      </c>
      <c r="H494" s="10">
        <v>7</v>
      </c>
      <c r="I494" s="11">
        <v>2203.25</v>
      </c>
      <c r="J494" s="6" t="s">
        <v>22</v>
      </c>
      <c r="K494" s="6" t="s">
        <v>21</v>
      </c>
      <c r="L494" s="6" t="s">
        <v>21</v>
      </c>
      <c r="M494" s="2">
        <f t="shared" si="7"/>
        <v>2203.25</v>
      </c>
    </row>
    <row r="495" spans="1:13" x14ac:dyDescent="0.25">
      <c r="A495" s="6" t="s">
        <v>7</v>
      </c>
      <c r="B495" s="6" t="s">
        <v>226</v>
      </c>
      <c r="C495" s="6" t="s">
        <v>227</v>
      </c>
      <c r="D495" s="6" t="s">
        <v>1397</v>
      </c>
      <c r="E495" s="6" t="s">
        <v>1398</v>
      </c>
      <c r="F495" s="9">
        <v>45695</v>
      </c>
      <c r="G495" s="9">
        <v>45740</v>
      </c>
      <c r="H495" s="12">
        <v>-24</v>
      </c>
      <c r="I495" s="11">
        <v>559105.14</v>
      </c>
      <c r="J495" s="6" t="s">
        <v>22</v>
      </c>
      <c r="K495" s="6" t="s">
        <v>21</v>
      </c>
      <c r="L495" s="6" t="s">
        <v>21</v>
      </c>
      <c r="M495" s="2" t="str">
        <f t="shared" si="7"/>
        <v/>
      </c>
    </row>
    <row r="496" spans="1:13" x14ac:dyDescent="0.25">
      <c r="A496" s="6" t="s">
        <v>7</v>
      </c>
      <c r="B496" s="6" t="s">
        <v>226</v>
      </c>
      <c r="C496" s="6" t="s">
        <v>227</v>
      </c>
      <c r="D496" s="6" t="s">
        <v>1399</v>
      </c>
      <c r="E496" s="6" t="s">
        <v>1400</v>
      </c>
      <c r="F496" s="9">
        <v>45695</v>
      </c>
      <c r="G496" s="9">
        <v>45740</v>
      </c>
      <c r="H496" s="12">
        <v>-24</v>
      </c>
      <c r="I496" s="11">
        <v>2409663.7000000002</v>
      </c>
      <c r="J496" s="6" t="s">
        <v>22</v>
      </c>
      <c r="K496" s="6" t="s">
        <v>21</v>
      </c>
      <c r="L496" s="6" t="s">
        <v>21</v>
      </c>
      <c r="M496" s="2" t="str">
        <f t="shared" si="7"/>
        <v/>
      </c>
    </row>
    <row r="497" spans="1:13" x14ac:dyDescent="0.25">
      <c r="A497" s="6" t="s">
        <v>7</v>
      </c>
      <c r="B497" s="6" t="s">
        <v>226</v>
      </c>
      <c r="C497" s="6" t="s">
        <v>227</v>
      </c>
      <c r="D497" s="6" t="s">
        <v>1401</v>
      </c>
      <c r="E497" s="6" t="s">
        <v>1402</v>
      </c>
      <c r="F497" s="9">
        <v>45695</v>
      </c>
      <c r="G497" s="9">
        <v>45740</v>
      </c>
      <c r="H497" s="12">
        <v>-24</v>
      </c>
      <c r="I497" s="11">
        <v>1684.28</v>
      </c>
      <c r="J497" s="6" t="s">
        <v>22</v>
      </c>
      <c r="K497" s="6" t="s">
        <v>21</v>
      </c>
      <c r="L497" s="6" t="s">
        <v>21</v>
      </c>
      <c r="M497" s="2" t="str">
        <f t="shared" si="7"/>
        <v/>
      </c>
    </row>
    <row r="498" spans="1:13" x14ac:dyDescent="0.25">
      <c r="A498" s="6" t="s">
        <v>7</v>
      </c>
      <c r="B498" s="6" t="s">
        <v>226</v>
      </c>
      <c r="C498" s="6" t="s">
        <v>227</v>
      </c>
      <c r="D498" s="6" t="s">
        <v>1403</v>
      </c>
      <c r="E498" s="6" t="s">
        <v>1404</v>
      </c>
      <c r="F498" s="9">
        <v>45695</v>
      </c>
      <c r="G498" s="9">
        <v>45709</v>
      </c>
      <c r="H498" s="10">
        <v>7</v>
      </c>
      <c r="I498" s="11">
        <v>60690</v>
      </c>
      <c r="J498" s="6" t="s">
        <v>22</v>
      </c>
      <c r="K498" s="6" t="s">
        <v>21</v>
      </c>
      <c r="L498" s="6" t="s">
        <v>21</v>
      </c>
      <c r="M498" s="2">
        <f t="shared" si="7"/>
        <v>60690</v>
      </c>
    </row>
    <row r="499" spans="1:13" x14ac:dyDescent="0.25">
      <c r="A499" s="6" t="s">
        <v>7</v>
      </c>
      <c r="B499" s="6" t="s">
        <v>226</v>
      </c>
      <c r="C499" s="6" t="s">
        <v>227</v>
      </c>
      <c r="D499" s="6" t="s">
        <v>259</v>
      </c>
      <c r="E499" s="6" t="s">
        <v>260</v>
      </c>
      <c r="F499" s="9">
        <v>45056</v>
      </c>
      <c r="G499" s="9">
        <v>45056</v>
      </c>
      <c r="H499" s="10">
        <v>660</v>
      </c>
      <c r="I499" s="13">
        <v>-1171.9100000000001</v>
      </c>
      <c r="J499" s="6" t="s">
        <v>22</v>
      </c>
      <c r="K499" s="6" t="s">
        <v>261</v>
      </c>
      <c r="L499" s="6" t="s">
        <v>21</v>
      </c>
      <c r="M499" s="2">
        <f t="shared" si="7"/>
        <v>-1171.9100000000001</v>
      </c>
    </row>
    <row r="500" spans="1:13" x14ac:dyDescent="0.25">
      <c r="A500" s="6" t="s">
        <v>7</v>
      </c>
      <c r="B500" s="6" t="s">
        <v>226</v>
      </c>
      <c r="C500" s="6" t="s">
        <v>227</v>
      </c>
      <c r="D500" s="6" t="s">
        <v>262</v>
      </c>
      <c r="E500" s="6" t="s">
        <v>263</v>
      </c>
      <c r="F500" s="9">
        <v>45649</v>
      </c>
      <c r="G500" s="9">
        <v>45649</v>
      </c>
      <c r="H500" s="10">
        <v>67</v>
      </c>
      <c r="I500" s="13">
        <v>-14.7</v>
      </c>
      <c r="J500" s="6" t="s">
        <v>22</v>
      </c>
      <c r="K500" s="6" t="s">
        <v>1386</v>
      </c>
      <c r="L500" s="6" t="s">
        <v>21</v>
      </c>
      <c r="M500" s="2">
        <f t="shared" si="7"/>
        <v>-14.7</v>
      </c>
    </row>
    <row r="501" spans="1:13" x14ac:dyDescent="0.25">
      <c r="A501" s="6" t="s">
        <v>7</v>
      </c>
      <c r="B501" s="6" t="s">
        <v>226</v>
      </c>
      <c r="C501" s="6" t="s">
        <v>227</v>
      </c>
      <c r="D501" s="6" t="s">
        <v>264</v>
      </c>
      <c r="E501" s="6" t="s">
        <v>265</v>
      </c>
      <c r="F501" s="9">
        <v>45649</v>
      </c>
      <c r="G501" s="9">
        <v>45649</v>
      </c>
      <c r="H501" s="10">
        <v>67</v>
      </c>
      <c r="I501" s="13">
        <v>-143965.69</v>
      </c>
      <c r="J501" s="6" t="s">
        <v>22</v>
      </c>
      <c r="K501" s="6" t="s">
        <v>1386</v>
      </c>
      <c r="L501" s="6" t="s">
        <v>21</v>
      </c>
      <c r="M501" s="2">
        <f t="shared" si="7"/>
        <v>-143965.69</v>
      </c>
    </row>
    <row r="502" spans="1:13" x14ac:dyDescent="0.25">
      <c r="A502" s="6" t="s">
        <v>7</v>
      </c>
      <c r="B502" s="6" t="s">
        <v>266</v>
      </c>
      <c r="C502" s="6" t="s">
        <v>267</v>
      </c>
      <c r="D502" s="6" t="s">
        <v>268</v>
      </c>
      <c r="E502" s="6" t="s">
        <v>21</v>
      </c>
      <c r="F502" s="9">
        <v>45623</v>
      </c>
      <c r="G502" s="9">
        <v>45623</v>
      </c>
      <c r="H502" s="10">
        <v>93</v>
      </c>
      <c r="I502" s="13">
        <v>-217.77</v>
      </c>
      <c r="J502" s="6" t="s">
        <v>22</v>
      </c>
      <c r="K502" s="6" t="s">
        <v>21</v>
      </c>
      <c r="L502" s="6" t="s">
        <v>21</v>
      </c>
      <c r="M502" s="2">
        <f t="shared" si="7"/>
        <v>-217.77</v>
      </c>
    </row>
    <row r="503" spans="1:13" x14ac:dyDescent="0.25">
      <c r="A503" s="6" t="s">
        <v>7</v>
      </c>
      <c r="B503" s="6" t="s">
        <v>266</v>
      </c>
      <c r="C503" s="6" t="s">
        <v>267</v>
      </c>
      <c r="D503" s="6" t="s">
        <v>269</v>
      </c>
      <c r="E503" s="6" t="s">
        <v>21</v>
      </c>
      <c r="F503" s="9">
        <v>45539</v>
      </c>
      <c r="G503" s="9">
        <v>45539</v>
      </c>
      <c r="H503" s="10">
        <v>177</v>
      </c>
      <c r="I503" s="13">
        <v>-374.86</v>
      </c>
      <c r="J503" s="6" t="s">
        <v>22</v>
      </c>
      <c r="K503" s="6" t="s">
        <v>21</v>
      </c>
      <c r="L503" s="6" t="s">
        <v>21</v>
      </c>
      <c r="M503" s="2">
        <f t="shared" si="7"/>
        <v>-374.86</v>
      </c>
    </row>
    <row r="504" spans="1:13" x14ac:dyDescent="0.25">
      <c r="A504" s="6" t="s">
        <v>7</v>
      </c>
      <c r="B504" s="6" t="s">
        <v>266</v>
      </c>
      <c r="C504" s="6" t="s">
        <v>267</v>
      </c>
      <c r="D504" s="6" t="s">
        <v>270</v>
      </c>
      <c r="E504" s="6" t="s">
        <v>21</v>
      </c>
      <c r="F504" s="9">
        <v>45505</v>
      </c>
      <c r="G504" s="9">
        <v>45505</v>
      </c>
      <c r="H504" s="10">
        <v>211</v>
      </c>
      <c r="I504" s="13">
        <v>-71.400000000000006</v>
      </c>
      <c r="J504" s="6" t="s">
        <v>22</v>
      </c>
      <c r="K504" s="6" t="s">
        <v>271</v>
      </c>
      <c r="L504" s="6" t="s">
        <v>21</v>
      </c>
      <c r="M504" s="2">
        <f t="shared" si="7"/>
        <v>-71.400000000000006</v>
      </c>
    </row>
    <row r="505" spans="1:13" x14ac:dyDescent="0.25">
      <c r="A505" s="6" t="s">
        <v>7</v>
      </c>
      <c r="B505" s="6" t="s">
        <v>266</v>
      </c>
      <c r="C505" s="6" t="s">
        <v>267</v>
      </c>
      <c r="D505" s="6" t="s">
        <v>272</v>
      </c>
      <c r="E505" s="6" t="s">
        <v>273</v>
      </c>
      <c r="F505" s="9">
        <v>45161</v>
      </c>
      <c r="G505" s="9">
        <v>45191</v>
      </c>
      <c r="H505" s="10">
        <v>525</v>
      </c>
      <c r="I505" s="11">
        <v>2374.0500000000002</v>
      </c>
      <c r="J505" s="6" t="s">
        <v>22</v>
      </c>
      <c r="K505" s="6" t="s">
        <v>21</v>
      </c>
      <c r="L505" s="6" t="s">
        <v>21</v>
      </c>
      <c r="M505" s="2">
        <f t="shared" si="7"/>
        <v>2374.0500000000002</v>
      </c>
    </row>
    <row r="506" spans="1:13" x14ac:dyDescent="0.25">
      <c r="A506" s="6" t="s">
        <v>7</v>
      </c>
      <c r="B506" s="6" t="s">
        <v>266</v>
      </c>
      <c r="C506" s="6" t="s">
        <v>267</v>
      </c>
      <c r="D506" s="6" t="s">
        <v>1405</v>
      </c>
      <c r="E506" s="6" t="s">
        <v>1406</v>
      </c>
      <c r="F506" s="9">
        <v>45703</v>
      </c>
      <c r="G506" s="9">
        <v>45733</v>
      </c>
      <c r="H506" s="12">
        <v>-17</v>
      </c>
      <c r="I506" s="11">
        <v>32.49</v>
      </c>
      <c r="J506" s="6" t="s">
        <v>22</v>
      </c>
      <c r="K506" s="6" t="s">
        <v>21</v>
      </c>
      <c r="L506" s="6" t="s">
        <v>21</v>
      </c>
      <c r="M506" s="2" t="str">
        <f t="shared" si="7"/>
        <v/>
      </c>
    </row>
    <row r="507" spans="1:13" x14ac:dyDescent="0.25">
      <c r="A507" s="6" t="s">
        <v>7</v>
      </c>
      <c r="B507" s="6" t="s">
        <v>266</v>
      </c>
      <c r="C507" s="6" t="s">
        <v>267</v>
      </c>
      <c r="D507" s="6" t="s">
        <v>1407</v>
      </c>
      <c r="E507" s="6" t="s">
        <v>1408</v>
      </c>
      <c r="F507" s="9">
        <v>45702</v>
      </c>
      <c r="G507" s="9">
        <v>45716</v>
      </c>
      <c r="H507" s="10">
        <v>0</v>
      </c>
      <c r="I507" s="11">
        <v>3998.4</v>
      </c>
      <c r="J507" s="6" t="s">
        <v>22</v>
      </c>
      <c r="K507" s="6" t="s">
        <v>1409</v>
      </c>
      <c r="L507" s="6" t="s">
        <v>21</v>
      </c>
      <c r="M507" s="2" t="str">
        <f t="shared" si="7"/>
        <v/>
      </c>
    </row>
    <row r="508" spans="1:13" x14ac:dyDescent="0.25">
      <c r="A508" s="6" t="s">
        <v>7</v>
      </c>
      <c r="B508" s="6" t="s">
        <v>266</v>
      </c>
      <c r="C508" s="6" t="s">
        <v>267</v>
      </c>
      <c r="D508" s="6" t="s">
        <v>1410</v>
      </c>
      <c r="E508" s="6" t="s">
        <v>1411</v>
      </c>
      <c r="F508" s="9">
        <v>45702</v>
      </c>
      <c r="G508" s="9">
        <v>45716</v>
      </c>
      <c r="H508" s="10">
        <v>0</v>
      </c>
      <c r="I508" s="11">
        <v>3998.4</v>
      </c>
      <c r="J508" s="6" t="s">
        <v>22</v>
      </c>
      <c r="K508" s="6" t="s">
        <v>1412</v>
      </c>
      <c r="L508" s="6" t="s">
        <v>21</v>
      </c>
      <c r="M508" s="2" t="str">
        <f t="shared" si="7"/>
        <v/>
      </c>
    </row>
    <row r="509" spans="1:13" x14ac:dyDescent="0.25">
      <c r="A509" s="6" t="s">
        <v>7</v>
      </c>
      <c r="B509" s="6" t="s">
        <v>266</v>
      </c>
      <c r="C509" s="6" t="s">
        <v>267</v>
      </c>
      <c r="D509" s="6" t="s">
        <v>1413</v>
      </c>
      <c r="E509" s="6" t="s">
        <v>1414</v>
      </c>
      <c r="F509" s="9">
        <v>45702</v>
      </c>
      <c r="G509" s="9">
        <v>45732</v>
      </c>
      <c r="H509" s="12">
        <v>-16</v>
      </c>
      <c r="I509" s="11">
        <v>249.9</v>
      </c>
      <c r="J509" s="6" t="s">
        <v>22</v>
      </c>
      <c r="K509" s="6" t="s">
        <v>21</v>
      </c>
      <c r="L509" s="6" t="s">
        <v>21</v>
      </c>
      <c r="M509" s="2" t="str">
        <f t="shared" si="7"/>
        <v/>
      </c>
    </row>
    <row r="510" spans="1:13" x14ac:dyDescent="0.25">
      <c r="A510" s="6" t="s">
        <v>7</v>
      </c>
      <c r="B510" s="6" t="s">
        <v>266</v>
      </c>
      <c r="C510" s="6" t="s">
        <v>267</v>
      </c>
      <c r="D510" s="6" t="s">
        <v>1415</v>
      </c>
      <c r="E510" s="6" t="s">
        <v>1416</v>
      </c>
      <c r="F510" s="9">
        <v>45702</v>
      </c>
      <c r="G510" s="9">
        <v>45732</v>
      </c>
      <c r="H510" s="12">
        <v>-16</v>
      </c>
      <c r="I510" s="11">
        <v>18658.830000000002</v>
      </c>
      <c r="J510" s="6" t="s">
        <v>22</v>
      </c>
      <c r="K510" s="6" t="s">
        <v>21</v>
      </c>
      <c r="L510" s="6" t="s">
        <v>21</v>
      </c>
      <c r="M510" s="2" t="str">
        <f t="shared" si="7"/>
        <v/>
      </c>
    </row>
    <row r="511" spans="1:13" x14ac:dyDescent="0.25">
      <c r="A511" s="6" t="s">
        <v>7</v>
      </c>
      <c r="B511" s="6" t="s">
        <v>266</v>
      </c>
      <c r="C511" s="6" t="s">
        <v>267</v>
      </c>
      <c r="D511" s="6" t="s">
        <v>1417</v>
      </c>
      <c r="E511" s="6" t="s">
        <v>1418</v>
      </c>
      <c r="F511" s="9">
        <v>45693</v>
      </c>
      <c r="G511" s="9">
        <v>45707</v>
      </c>
      <c r="H511" s="10">
        <v>9</v>
      </c>
      <c r="I511" s="11">
        <v>8568</v>
      </c>
      <c r="J511" s="6" t="s">
        <v>22</v>
      </c>
      <c r="K511" s="6" t="s">
        <v>21</v>
      </c>
      <c r="L511" s="6" t="s">
        <v>21</v>
      </c>
      <c r="M511" s="2">
        <f t="shared" si="7"/>
        <v>8568</v>
      </c>
    </row>
    <row r="512" spans="1:13" x14ac:dyDescent="0.25">
      <c r="A512" s="6" t="s">
        <v>7</v>
      </c>
      <c r="B512" s="6" t="s">
        <v>266</v>
      </c>
      <c r="C512" s="6" t="s">
        <v>267</v>
      </c>
      <c r="D512" s="6" t="s">
        <v>1419</v>
      </c>
      <c r="E512" s="6" t="s">
        <v>1420</v>
      </c>
      <c r="F512" s="9">
        <v>45695</v>
      </c>
      <c r="G512" s="9">
        <v>45725</v>
      </c>
      <c r="H512" s="12">
        <v>-9</v>
      </c>
      <c r="I512" s="11">
        <v>4900.8100000000004</v>
      </c>
      <c r="J512" s="6" t="s">
        <v>22</v>
      </c>
      <c r="K512" s="6" t="s">
        <v>21</v>
      </c>
      <c r="L512" s="6" t="s">
        <v>21</v>
      </c>
      <c r="M512" s="2" t="str">
        <f t="shared" si="7"/>
        <v/>
      </c>
    </row>
    <row r="513" spans="1:13" x14ac:dyDescent="0.25">
      <c r="A513" s="6" t="s">
        <v>7</v>
      </c>
      <c r="B513" s="6" t="s">
        <v>266</v>
      </c>
      <c r="C513" s="6" t="s">
        <v>267</v>
      </c>
      <c r="D513" s="6" t="s">
        <v>1421</v>
      </c>
      <c r="E513" s="6" t="s">
        <v>1422</v>
      </c>
      <c r="F513" s="9">
        <v>45695</v>
      </c>
      <c r="G513" s="9">
        <v>45725</v>
      </c>
      <c r="H513" s="12">
        <v>-9</v>
      </c>
      <c r="I513" s="11">
        <v>3609.25</v>
      </c>
      <c r="J513" s="6" t="s">
        <v>22</v>
      </c>
      <c r="K513" s="6" t="s">
        <v>21</v>
      </c>
      <c r="L513" s="6" t="s">
        <v>21</v>
      </c>
      <c r="M513" s="2" t="str">
        <f t="shared" si="7"/>
        <v/>
      </c>
    </row>
    <row r="514" spans="1:13" x14ac:dyDescent="0.25">
      <c r="A514" s="6" t="s">
        <v>7</v>
      </c>
      <c r="B514" s="6" t="s">
        <v>266</v>
      </c>
      <c r="C514" s="6" t="s">
        <v>267</v>
      </c>
      <c r="D514" s="6" t="s">
        <v>1423</v>
      </c>
      <c r="E514" s="6" t="s">
        <v>1424</v>
      </c>
      <c r="F514" s="9">
        <v>45695</v>
      </c>
      <c r="G514" s="9">
        <v>45725</v>
      </c>
      <c r="H514" s="12">
        <v>-9</v>
      </c>
      <c r="I514" s="11">
        <v>733.35</v>
      </c>
      <c r="J514" s="6" t="s">
        <v>22</v>
      </c>
      <c r="K514" s="6" t="s">
        <v>21</v>
      </c>
      <c r="L514" s="6" t="s">
        <v>21</v>
      </c>
      <c r="M514" s="2" t="str">
        <f t="shared" si="7"/>
        <v/>
      </c>
    </row>
    <row r="515" spans="1:13" x14ac:dyDescent="0.25">
      <c r="A515" s="6" t="s">
        <v>7</v>
      </c>
      <c r="B515" s="6" t="s">
        <v>266</v>
      </c>
      <c r="C515" s="6" t="s">
        <v>267</v>
      </c>
      <c r="D515" s="6" t="s">
        <v>1425</v>
      </c>
      <c r="E515" s="6" t="s">
        <v>1426</v>
      </c>
      <c r="F515" s="9">
        <v>45695</v>
      </c>
      <c r="G515" s="9">
        <v>45725</v>
      </c>
      <c r="H515" s="12">
        <v>-9</v>
      </c>
      <c r="I515" s="11">
        <v>2834.16</v>
      </c>
      <c r="J515" s="6" t="s">
        <v>22</v>
      </c>
      <c r="K515" s="6" t="s">
        <v>21</v>
      </c>
      <c r="L515" s="6" t="s">
        <v>21</v>
      </c>
      <c r="M515" s="2" t="str">
        <f t="shared" ref="M515:M578" si="8">IF(H515&gt;0,I515,"")</f>
        <v/>
      </c>
    </row>
    <row r="516" spans="1:13" x14ac:dyDescent="0.25">
      <c r="A516" s="6" t="s">
        <v>7</v>
      </c>
      <c r="B516" s="6" t="s">
        <v>266</v>
      </c>
      <c r="C516" s="6" t="s">
        <v>267</v>
      </c>
      <c r="D516" s="6" t="s">
        <v>1427</v>
      </c>
      <c r="E516" s="6" t="s">
        <v>1428</v>
      </c>
      <c r="F516" s="9">
        <v>45695</v>
      </c>
      <c r="G516" s="9">
        <v>45725</v>
      </c>
      <c r="H516" s="12">
        <v>-9</v>
      </c>
      <c r="I516" s="11">
        <v>1637.39</v>
      </c>
      <c r="J516" s="6" t="s">
        <v>22</v>
      </c>
      <c r="K516" s="6" t="s">
        <v>21</v>
      </c>
      <c r="L516" s="6" t="s">
        <v>21</v>
      </c>
      <c r="M516" s="2" t="str">
        <f t="shared" si="8"/>
        <v/>
      </c>
    </row>
    <row r="517" spans="1:13" x14ac:dyDescent="0.25">
      <c r="A517" s="6" t="s">
        <v>7</v>
      </c>
      <c r="B517" s="6" t="s">
        <v>266</v>
      </c>
      <c r="C517" s="6" t="s">
        <v>267</v>
      </c>
      <c r="D517" s="6" t="s">
        <v>1429</v>
      </c>
      <c r="E517" s="6" t="s">
        <v>1430</v>
      </c>
      <c r="F517" s="9">
        <v>45695</v>
      </c>
      <c r="G517" s="9">
        <v>45725</v>
      </c>
      <c r="H517" s="12">
        <v>-9</v>
      </c>
      <c r="I517" s="11">
        <v>4434.99</v>
      </c>
      <c r="J517" s="6" t="s">
        <v>22</v>
      </c>
      <c r="K517" s="6" t="s">
        <v>21</v>
      </c>
      <c r="L517" s="6" t="s">
        <v>21</v>
      </c>
      <c r="M517" s="2" t="str">
        <f t="shared" si="8"/>
        <v/>
      </c>
    </row>
    <row r="518" spans="1:13" x14ac:dyDescent="0.25">
      <c r="A518" s="6" t="s">
        <v>7</v>
      </c>
      <c r="B518" s="6" t="s">
        <v>266</v>
      </c>
      <c r="C518" s="6" t="s">
        <v>267</v>
      </c>
      <c r="D518" s="6" t="s">
        <v>1431</v>
      </c>
      <c r="E518" s="6" t="s">
        <v>1432</v>
      </c>
      <c r="F518" s="9">
        <v>45695</v>
      </c>
      <c r="G518" s="9">
        <v>45725</v>
      </c>
      <c r="H518" s="12">
        <v>-9</v>
      </c>
      <c r="I518" s="11">
        <v>102.79</v>
      </c>
      <c r="J518" s="6" t="s">
        <v>22</v>
      </c>
      <c r="K518" s="6" t="s">
        <v>21</v>
      </c>
      <c r="L518" s="6" t="s">
        <v>21</v>
      </c>
      <c r="M518" s="2" t="str">
        <f t="shared" si="8"/>
        <v/>
      </c>
    </row>
    <row r="519" spans="1:13" x14ac:dyDescent="0.25">
      <c r="A519" s="6" t="s">
        <v>7</v>
      </c>
      <c r="B519" s="6" t="s">
        <v>266</v>
      </c>
      <c r="C519" s="6" t="s">
        <v>267</v>
      </c>
      <c r="D519" s="6" t="s">
        <v>1433</v>
      </c>
      <c r="E519" s="6" t="s">
        <v>1434</v>
      </c>
      <c r="F519" s="9">
        <v>45695</v>
      </c>
      <c r="G519" s="9">
        <v>45725</v>
      </c>
      <c r="H519" s="12">
        <v>-9</v>
      </c>
      <c r="I519" s="11">
        <v>33593.25</v>
      </c>
      <c r="J519" s="6" t="s">
        <v>22</v>
      </c>
      <c r="K519" s="6" t="s">
        <v>21</v>
      </c>
      <c r="L519" s="6" t="s">
        <v>21</v>
      </c>
      <c r="M519" s="2" t="str">
        <f t="shared" si="8"/>
        <v/>
      </c>
    </row>
    <row r="520" spans="1:13" x14ac:dyDescent="0.25">
      <c r="A520" s="6" t="s">
        <v>7</v>
      </c>
      <c r="B520" s="6" t="s">
        <v>266</v>
      </c>
      <c r="C520" s="6" t="s">
        <v>267</v>
      </c>
      <c r="D520" s="6" t="s">
        <v>1435</v>
      </c>
      <c r="E520" s="6" t="s">
        <v>1436</v>
      </c>
      <c r="F520" s="9">
        <v>45695</v>
      </c>
      <c r="G520" s="9">
        <v>45725</v>
      </c>
      <c r="H520" s="12">
        <v>-9</v>
      </c>
      <c r="I520" s="11">
        <v>3334.99</v>
      </c>
      <c r="J520" s="6" t="s">
        <v>22</v>
      </c>
      <c r="K520" s="6" t="s">
        <v>21</v>
      </c>
      <c r="L520" s="6" t="s">
        <v>21</v>
      </c>
      <c r="M520" s="2" t="str">
        <f t="shared" si="8"/>
        <v/>
      </c>
    </row>
    <row r="521" spans="1:13" x14ac:dyDescent="0.25">
      <c r="A521" s="6" t="s">
        <v>7</v>
      </c>
      <c r="B521" s="6" t="s">
        <v>266</v>
      </c>
      <c r="C521" s="6" t="s">
        <v>267</v>
      </c>
      <c r="D521" s="6" t="s">
        <v>1437</v>
      </c>
      <c r="E521" s="6" t="s">
        <v>1438</v>
      </c>
      <c r="F521" s="9">
        <v>45695</v>
      </c>
      <c r="G521" s="9">
        <v>45725</v>
      </c>
      <c r="H521" s="12">
        <v>-9</v>
      </c>
      <c r="I521" s="11">
        <v>22059.57</v>
      </c>
      <c r="J521" s="6" t="s">
        <v>22</v>
      </c>
      <c r="K521" s="6" t="s">
        <v>21</v>
      </c>
      <c r="L521" s="6" t="s">
        <v>21</v>
      </c>
      <c r="M521" s="2" t="str">
        <f t="shared" si="8"/>
        <v/>
      </c>
    </row>
    <row r="522" spans="1:13" x14ac:dyDescent="0.25">
      <c r="A522" s="6" t="s">
        <v>7</v>
      </c>
      <c r="B522" s="6" t="s">
        <v>266</v>
      </c>
      <c r="C522" s="6" t="s">
        <v>267</v>
      </c>
      <c r="D522" s="6" t="s">
        <v>1439</v>
      </c>
      <c r="E522" s="6" t="s">
        <v>1440</v>
      </c>
      <c r="F522" s="9">
        <v>45695</v>
      </c>
      <c r="G522" s="9">
        <v>45725</v>
      </c>
      <c r="H522" s="12">
        <v>-9</v>
      </c>
      <c r="I522" s="11">
        <v>1396.19</v>
      </c>
      <c r="J522" s="6" t="s">
        <v>22</v>
      </c>
      <c r="K522" s="6" t="s">
        <v>21</v>
      </c>
      <c r="L522" s="6" t="s">
        <v>21</v>
      </c>
      <c r="M522" s="2" t="str">
        <f t="shared" si="8"/>
        <v/>
      </c>
    </row>
    <row r="523" spans="1:13" x14ac:dyDescent="0.25">
      <c r="A523" s="6" t="s">
        <v>7</v>
      </c>
      <c r="B523" s="6" t="s">
        <v>266</v>
      </c>
      <c r="C523" s="6" t="s">
        <v>267</v>
      </c>
      <c r="D523" s="6" t="s">
        <v>1441</v>
      </c>
      <c r="E523" s="6" t="s">
        <v>1442</v>
      </c>
      <c r="F523" s="9">
        <v>45695</v>
      </c>
      <c r="G523" s="9">
        <v>45725</v>
      </c>
      <c r="H523" s="12">
        <v>-9</v>
      </c>
      <c r="I523" s="11">
        <v>38922.94</v>
      </c>
      <c r="J523" s="6" t="s">
        <v>22</v>
      </c>
      <c r="K523" s="6" t="s">
        <v>21</v>
      </c>
      <c r="L523" s="6" t="s">
        <v>21</v>
      </c>
      <c r="M523" s="2" t="str">
        <f t="shared" si="8"/>
        <v/>
      </c>
    </row>
    <row r="524" spans="1:13" x14ac:dyDescent="0.25">
      <c r="A524" s="6" t="s">
        <v>7</v>
      </c>
      <c r="B524" s="6" t="s">
        <v>266</v>
      </c>
      <c r="C524" s="6" t="s">
        <v>267</v>
      </c>
      <c r="D524" s="6" t="s">
        <v>1443</v>
      </c>
      <c r="E524" s="6" t="s">
        <v>1444</v>
      </c>
      <c r="F524" s="9">
        <v>45695</v>
      </c>
      <c r="G524" s="9">
        <v>45725</v>
      </c>
      <c r="H524" s="12">
        <v>-9</v>
      </c>
      <c r="I524" s="11">
        <v>3514.36</v>
      </c>
      <c r="J524" s="6" t="s">
        <v>22</v>
      </c>
      <c r="K524" s="6" t="s">
        <v>21</v>
      </c>
      <c r="L524" s="6" t="s">
        <v>21</v>
      </c>
      <c r="M524" s="2" t="str">
        <f t="shared" si="8"/>
        <v/>
      </c>
    </row>
    <row r="525" spans="1:13" x14ac:dyDescent="0.25">
      <c r="A525" s="6" t="s">
        <v>7</v>
      </c>
      <c r="B525" s="6" t="s">
        <v>266</v>
      </c>
      <c r="C525" s="6" t="s">
        <v>267</v>
      </c>
      <c r="D525" s="6" t="s">
        <v>1445</v>
      </c>
      <c r="E525" s="6" t="s">
        <v>1446</v>
      </c>
      <c r="F525" s="9">
        <v>45695</v>
      </c>
      <c r="G525" s="9">
        <v>45709</v>
      </c>
      <c r="H525" s="10">
        <v>7</v>
      </c>
      <c r="I525" s="11">
        <v>1167.81</v>
      </c>
      <c r="J525" s="6" t="s">
        <v>22</v>
      </c>
      <c r="K525" s="6" t="s">
        <v>21</v>
      </c>
      <c r="L525" s="6" t="s">
        <v>21</v>
      </c>
      <c r="M525" s="2">
        <f t="shared" si="8"/>
        <v>1167.81</v>
      </c>
    </row>
    <row r="526" spans="1:13" x14ac:dyDescent="0.25">
      <c r="A526" s="6" t="s">
        <v>7</v>
      </c>
      <c r="B526" s="6" t="s">
        <v>266</v>
      </c>
      <c r="C526" s="6" t="s">
        <v>267</v>
      </c>
      <c r="D526" s="6" t="s">
        <v>1447</v>
      </c>
      <c r="E526" s="6" t="s">
        <v>1448</v>
      </c>
      <c r="F526" s="9">
        <v>45695</v>
      </c>
      <c r="G526" s="9">
        <v>45725</v>
      </c>
      <c r="H526" s="12">
        <v>-9</v>
      </c>
      <c r="I526" s="11">
        <v>4768.76</v>
      </c>
      <c r="J526" s="6" t="s">
        <v>22</v>
      </c>
      <c r="K526" s="6" t="s">
        <v>21</v>
      </c>
      <c r="L526" s="6" t="s">
        <v>21</v>
      </c>
      <c r="M526" s="2" t="str">
        <f t="shared" si="8"/>
        <v/>
      </c>
    </row>
    <row r="527" spans="1:13" x14ac:dyDescent="0.25">
      <c r="A527" s="6" t="s">
        <v>7</v>
      </c>
      <c r="B527" s="6" t="s">
        <v>266</v>
      </c>
      <c r="C527" s="6" t="s">
        <v>267</v>
      </c>
      <c r="D527" s="6" t="s">
        <v>1449</v>
      </c>
      <c r="E527" s="6" t="s">
        <v>1450</v>
      </c>
      <c r="F527" s="9">
        <v>45695</v>
      </c>
      <c r="G527" s="9">
        <v>45725</v>
      </c>
      <c r="H527" s="12">
        <v>-9</v>
      </c>
      <c r="I527" s="11">
        <v>51615.89</v>
      </c>
      <c r="J527" s="6" t="s">
        <v>22</v>
      </c>
      <c r="K527" s="6" t="s">
        <v>21</v>
      </c>
      <c r="L527" s="6" t="s">
        <v>21</v>
      </c>
      <c r="M527" s="2" t="str">
        <f t="shared" si="8"/>
        <v/>
      </c>
    </row>
    <row r="528" spans="1:13" x14ac:dyDescent="0.25">
      <c r="A528" s="6" t="s">
        <v>7</v>
      </c>
      <c r="B528" s="6" t="s">
        <v>266</v>
      </c>
      <c r="C528" s="6" t="s">
        <v>267</v>
      </c>
      <c r="D528" s="6" t="s">
        <v>1451</v>
      </c>
      <c r="E528" s="6" t="s">
        <v>1452</v>
      </c>
      <c r="F528" s="9">
        <v>45695</v>
      </c>
      <c r="G528" s="9">
        <v>45725</v>
      </c>
      <c r="H528" s="12">
        <v>-9</v>
      </c>
      <c r="I528" s="11">
        <v>24496.2</v>
      </c>
      <c r="J528" s="6" t="s">
        <v>22</v>
      </c>
      <c r="K528" s="6" t="s">
        <v>21</v>
      </c>
      <c r="L528" s="6" t="s">
        <v>21</v>
      </c>
      <c r="M528" s="2" t="str">
        <f t="shared" si="8"/>
        <v/>
      </c>
    </row>
    <row r="529" spans="1:13" x14ac:dyDescent="0.25">
      <c r="A529" s="6" t="s">
        <v>7</v>
      </c>
      <c r="B529" s="6" t="s">
        <v>266</v>
      </c>
      <c r="C529" s="6" t="s">
        <v>267</v>
      </c>
      <c r="D529" s="6" t="s">
        <v>1453</v>
      </c>
      <c r="E529" s="6" t="s">
        <v>1454</v>
      </c>
      <c r="F529" s="9">
        <v>45695</v>
      </c>
      <c r="G529" s="9">
        <v>45725</v>
      </c>
      <c r="H529" s="12">
        <v>-9</v>
      </c>
      <c r="I529" s="11">
        <v>68494.48</v>
      </c>
      <c r="J529" s="6" t="s">
        <v>22</v>
      </c>
      <c r="K529" s="6" t="s">
        <v>21</v>
      </c>
      <c r="L529" s="6" t="s">
        <v>21</v>
      </c>
      <c r="M529" s="2" t="str">
        <f t="shared" si="8"/>
        <v/>
      </c>
    </row>
    <row r="530" spans="1:13" x14ac:dyDescent="0.25">
      <c r="A530" s="6" t="s">
        <v>7</v>
      </c>
      <c r="B530" s="6" t="s">
        <v>266</v>
      </c>
      <c r="C530" s="6" t="s">
        <v>267</v>
      </c>
      <c r="D530" s="6" t="s">
        <v>1455</v>
      </c>
      <c r="E530" s="6" t="s">
        <v>1456</v>
      </c>
      <c r="F530" s="9">
        <v>45695</v>
      </c>
      <c r="G530" s="9">
        <v>45725</v>
      </c>
      <c r="H530" s="12">
        <v>-9</v>
      </c>
      <c r="I530" s="11">
        <v>5497.09</v>
      </c>
      <c r="J530" s="6" t="s">
        <v>22</v>
      </c>
      <c r="K530" s="6" t="s">
        <v>21</v>
      </c>
      <c r="L530" s="6" t="s">
        <v>21</v>
      </c>
      <c r="M530" s="2" t="str">
        <f t="shared" si="8"/>
        <v/>
      </c>
    </row>
    <row r="531" spans="1:13" x14ac:dyDescent="0.25">
      <c r="A531" s="6" t="s">
        <v>7</v>
      </c>
      <c r="B531" s="6" t="s">
        <v>266</v>
      </c>
      <c r="C531" s="6" t="s">
        <v>267</v>
      </c>
      <c r="D531" s="6" t="s">
        <v>1457</v>
      </c>
      <c r="E531" s="6" t="s">
        <v>1458</v>
      </c>
      <c r="F531" s="9">
        <v>45695</v>
      </c>
      <c r="G531" s="9">
        <v>45710</v>
      </c>
      <c r="H531" s="10">
        <v>6</v>
      </c>
      <c r="I531" s="11">
        <v>22410.58</v>
      </c>
      <c r="J531" s="6" t="s">
        <v>22</v>
      </c>
      <c r="K531" s="6" t="s">
        <v>21</v>
      </c>
      <c r="L531" s="6" t="s">
        <v>21</v>
      </c>
      <c r="M531" s="2">
        <f t="shared" si="8"/>
        <v>22410.58</v>
      </c>
    </row>
    <row r="532" spans="1:13" x14ac:dyDescent="0.25">
      <c r="A532" s="6" t="s">
        <v>7</v>
      </c>
      <c r="B532" s="6" t="s">
        <v>266</v>
      </c>
      <c r="C532" s="6" t="s">
        <v>267</v>
      </c>
      <c r="D532" s="6" t="s">
        <v>1459</v>
      </c>
      <c r="E532" s="6" t="s">
        <v>1460</v>
      </c>
      <c r="F532" s="9">
        <v>45695</v>
      </c>
      <c r="G532" s="9">
        <v>45725</v>
      </c>
      <c r="H532" s="12">
        <v>-9</v>
      </c>
      <c r="I532" s="11">
        <v>22437.06</v>
      </c>
      <c r="J532" s="6" t="s">
        <v>22</v>
      </c>
      <c r="K532" s="6" t="s">
        <v>21</v>
      </c>
      <c r="L532" s="6" t="s">
        <v>21</v>
      </c>
      <c r="M532" s="2" t="str">
        <f t="shared" si="8"/>
        <v/>
      </c>
    </row>
    <row r="533" spans="1:13" x14ac:dyDescent="0.25">
      <c r="A533" s="6" t="s">
        <v>7</v>
      </c>
      <c r="B533" s="6" t="s">
        <v>266</v>
      </c>
      <c r="C533" s="6" t="s">
        <v>267</v>
      </c>
      <c r="D533" s="6" t="s">
        <v>1461</v>
      </c>
      <c r="E533" s="6" t="s">
        <v>1462</v>
      </c>
      <c r="F533" s="9">
        <v>45695</v>
      </c>
      <c r="G533" s="9">
        <v>45725</v>
      </c>
      <c r="H533" s="12">
        <v>-9</v>
      </c>
      <c r="I533" s="11">
        <v>15399.27</v>
      </c>
      <c r="J533" s="6" t="s">
        <v>22</v>
      </c>
      <c r="K533" s="6" t="s">
        <v>21</v>
      </c>
      <c r="L533" s="6" t="s">
        <v>21</v>
      </c>
      <c r="M533" s="2" t="str">
        <f t="shared" si="8"/>
        <v/>
      </c>
    </row>
    <row r="534" spans="1:13" x14ac:dyDescent="0.25">
      <c r="A534" s="6" t="s">
        <v>7</v>
      </c>
      <c r="B534" s="6" t="s">
        <v>266</v>
      </c>
      <c r="C534" s="6" t="s">
        <v>267</v>
      </c>
      <c r="D534" s="6" t="s">
        <v>1463</v>
      </c>
      <c r="E534" s="6" t="s">
        <v>1464</v>
      </c>
      <c r="F534" s="9">
        <v>45695</v>
      </c>
      <c r="G534" s="9">
        <v>45725</v>
      </c>
      <c r="H534" s="12">
        <v>-9</v>
      </c>
      <c r="I534" s="11">
        <v>18813.55</v>
      </c>
      <c r="J534" s="6" t="s">
        <v>22</v>
      </c>
      <c r="K534" s="6" t="s">
        <v>21</v>
      </c>
      <c r="L534" s="6" t="s">
        <v>21</v>
      </c>
      <c r="M534" s="2" t="str">
        <f t="shared" si="8"/>
        <v/>
      </c>
    </row>
    <row r="535" spans="1:13" x14ac:dyDescent="0.25">
      <c r="A535" s="6" t="s">
        <v>7</v>
      </c>
      <c r="B535" s="6" t="s">
        <v>266</v>
      </c>
      <c r="C535" s="6" t="s">
        <v>267</v>
      </c>
      <c r="D535" s="6" t="s">
        <v>1465</v>
      </c>
      <c r="E535" s="6" t="s">
        <v>1466</v>
      </c>
      <c r="F535" s="9">
        <v>45695</v>
      </c>
      <c r="G535" s="9">
        <v>45725</v>
      </c>
      <c r="H535" s="12">
        <v>-9</v>
      </c>
      <c r="I535" s="11">
        <v>21992.720000000001</v>
      </c>
      <c r="J535" s="6" t="s">
        <v>22</v>
      </c>
      <c r="K535" s="6" t="s">
        <v>21</v>
      </c>
      <c r="L535" s="6" t="s">
        <v>21</v>
      </c>
      <c r="M535" s="2" t="str">
        <f t="shared" si="8"/>
        <v/>
      </c>
    </row>
    <row r="536" spans="1:13" x14ac:dyDescent="0.25">
      <c r="A536" s="6" t="s">
        <v>7</v>
      </c>
      <c r="B536" s="6" t="s">
        <v>266</v>
      </c>
      <c r="C536" s="6" t="s">
        <v>267</v>
      </c>
      <c r="D536" s="6" t="s">
        <v>1467</v>
      </c>
      <c r="E536" s="6" t="s">
        <v>1468</v>
      </c>
      <c r="F536" s="9">
        <v>45695</v>
      </c>
      <c r="G536" s="9">
        <v>45725</v>
      </c>
      <c r="H536" s="12">
        <v>-9</v>
      </c>
      <c r="I536" s="11">
        <v>40102.730000000003</v>
      </c>
      <c r="J536" s="6" t="s">
        <v>22</v>
      </c>
      <c r="K536" s="6" t="s">
        <v>21</v>
      </c>
      <c r="L536" s="6" t="s">
        <v>21</v>
      </c>
      <c r="M536" s="2" t="str">
        <f t="shared" si="8"/>
        <v/>
      </c>
    </row>
    <row r="537" spans="1:13" x14ac:dyDescent="0.25">
      <c r="A537" s="6" t="s">
        <v>7</v>
      </c>
      <c r="B537" s="6" t="s">
        <v>266</v>
      </c>
      <c r="C537" s="6" t="s">
        <v>267</v>
      </c>
      <c r="D537" s="6" t="s">
        <v>1469</v>
      </c>
      <c r="E537" s="6" t="s">
        <v>1470</v>
      </c>
      <c r="F537" s="9">
        <v>45695</v>
      </c>
      <c r="G537" s="9">
        <v>45755</v>
      </c>
      <c r="H537" s="12">
        <v>-39</v>
      </c>
      <c r="I537" s="11">
        <v>52909.26</v>
      </c>
      <c r="J537" s="6" t="s">
        <v>22</v>
      </c>
      <c r="K537" s="6" t="s">
        <v>21</v>
      </c>
      <c r="L537" s="6" t="s">
        <v>21</v>
      </c>
      <c r="M537" s="2" t="str">
        <f t="shared" si="8"/>
        <v/>
      </c>
    </row>
    <row r="538" spans="1:13" x14ac:dyDescent="0.25">
      <c r="A538" s="6" t="s">
        <v>7</v>
      </c>
      <c r="B538" s="6" t="s">
        <v>266</v>
      </c>
      <c r="C538" s="6" t="s">
        <v>267</v>
      </c>
      <c r="D538" s="6" t="s">
        <v>1471</v>
      </c>
      <c r="E538" s="6" t="s">
        <v>1472</v>
      </c>
      <c r="F538" s="9">
        <v>45695</v>
      </c>
      <c r="G538" s="9">
        <v>45725</v>
      </c>
      <c r="H538" s="12">
        <v>-9</v>
      </c>
      <c r="I538" s="11">
        <v>323846.21999999997</v>
      </c>
      <c r="J538" s="6" t="s">
        <v>22</v>
      </c>
      <c r="K538" s="6" t="s">
        <v>21</v>
      </c>
      <c r="L538" s="6" t="s">
        <v>21</v>
      </c>
      <c r="M538" s="2" t="str">
        <f t="shared" si="8"/>
        <v/>
      </c>
    </row>
    <row r="539" spans="1:13" x14ac:dyDescent="0.25">
      <c r="A539" s="6" t="s">
        <v>7</v>
      </c>
      <c r="B539" s="6" t="s">
        <v>266</v>
      </c>
      <c r="C539" s="6" t="s">
        <v>267</v>
      </c>
      <c r="D539" s="6" t="s">
        <v>1473</v>
      </c>
      <c r="E539" s="6" t="s">
        <v>1474</v>
      </c>
      <c r="F539" s="9">
        <v>45695</v>
      </c>
      <c r="G539" s="9">
        <v>45725</v>
      </c>
      <c r="H539" s="12">
        <v>-9</v>
      </c>
      <c r="I539" s="11">
        <v>155.81</v>
      </c>
      <c r="J539" s="6" t="s">
        <v>22</v>
      </c>
      <c r="K539" s="6" t="s">
        <v>21</v>
      </c>
      <c r="L539" s="6" t="s">
        <v>21</v>
      </c>
      <c r="M539" s="2" t="str">
        <f t="shared" si="8"/>
        <v/>
      </c>
    </row>
    <row r="540" spans="1:13" x14ac:dyDescent="0.25">
      <c r="A540" s="6" t="s">
        <v>7</v>
      </c>
      <c r="B540" s="6" t="s">
        <v>266</v>
      </c>
      <c r="C540" s="6" t="s">
        <v>267</v>
      </c>
      <c r="D540" s="6" t="s">
        <v>1475</v>
      </c>
      <c r="E540" s="6" t="s">
        <v>1476</v>
      </c>
      <c r="F540" s="9">
        <v>45695</v>
      </c>
      <c r="G540" s="9">
        <v>45725</v>
      </c>
      <c r="H540" s="12">
        <v>-9</v>
      </c>
      <c r="I540" s="11">
        <v>8176.42</v>
      </c>
      <c r="J540" s="6" t="s">
        <v>22</v>
      </c>
      <c r="K540" s="6" t="s">
        <v>21</v>
      </c>
      <c r="L540" s="6" t="s">
        <v>21</v>
      </c>
      <c r="M540" s="2" t="str">
        <f t="shared" si="8"/>
        <v/>
      </c>
    </row>
    <row r="541" spans="1:13" x14ac:dyDescent="0.25">
      <c r="A541" s="6" t="s">
        <v>7</v>
      </c>
      <c r="B541" s="6" t="s">
        <v>266</v>
      </c>
      <c r="C541" s="6" t="s">
        <v>267</v>
      </c>
      <c r="D541" s="6" t="s">
        <v>1477</v>
      </c>
      <c r="E541" s="6" t="s">
        <v>1478</v>
      </c>
      <c r="F541" s="9">
        <v>45695</v>
      </c>
      <c r="G541" s="9">
        <v>45709</v>
      </c>
      <c r="H541" s="10">
        <v>7</v>
      </c>
      <c r="I541" s="11">
        <v>2159.42</v>
      </c>
      <c r="J541" s="6" t="s">
        <v>22</v>
      </c>
      <c r="K541" s="6" t="s">
        <v>21</v>
      </c>
      <c r="L541" s="6" t="s">
        <v>21</v>
      </c>
      <c r="M541" s="2">
        <f t="shared" si="8"/>
        <v>2159.42</v>
      </c>
    </row>
    <row r="542" spans="1:13" x14ac:dyDescent="0.25">
      <c r="A542" s="6" t="s">
        <v>7</v>
      </c>
      <c r="B542" s="6" t="s">
        <v>266</v>
      </c>
      <c r="C542" s="6" t="s">
        <v>267</v>
      </c>
      <c r="D542" s="6" t="s">
        <v>1479</v>
      </c>
      <c r="E542" s="6" t="s">
        <v>1480</v>
      </c>
      <c r="F542" s="9">
        <v>45695</v>
      </c>
      <c r="G542" s="9">
        <v>45725</v>
      </c>
      <c r="H542" s="12">
        <v>-9</v>
      </c>
      <c r="I542" s="11">
        <v>7547.44</v>
      </c>
      <c r="J542" s="6" t="s">
        <v>22</v>
      </c>
      <c r="K542" s="6" t="s">
        <v>21</v>
      </c>
      <c r="L542" s="6" t="s">
        <v>21</v>
      </c>
      <c r="M542" s="2" t="str">
        <f t="shared" si="8"/>
        <v/>
      </c>
    </row>
    <row r="543" spans="1:13" x14ac:dyDescent="0.25">
      <c r="A543" s="6" t="s">
        <v>7</v>
      </c>
      <c r="B543" s="6" t="s">
        <v>266</v>
      </c>
      <c r="C543" s="6" t="s">
        <v>267</v>
      </c>
      <c r="D543" s="6" t="s">
        <v>1481</v>
      </c>
      <c r="E543" s="6" t="s">
        <v>1482</v>
      </c>
      <c r="F543" s="9">
        <v>45695</v>
      </c>
      <c r="G543" s="9">
        <v>45725</v>
      </c>
      <c r="H543" s="12">
        <v>-9</v>
      </c>
      <c r="I543" s="11">
        <v>10715.96</v>
      </c>
      <c r="J543" s="6" t="s">
        <v>22</v>
      </c>
      <c r="K543" s="6" t="s">
        <v>21</v>
      </c>
      <c r="L543" s="6" t="s">
        <v>21</v>
      </c>
      <c r="M543" s="2" t="str">
        <f t="shared" si="8"/>
        <v/>
      </c>
    </row>
    <row r="544" spans="1:13" x14ac:dyDescent="0.25">
      <c r="A544" s="6" t="s">
        <v>7</v>
      </c>
      <c r="B544" s="6" t="s">
        <v>266</v>
      </c>
      <c r="C544" s="6" t="s">
        <v>267</v>
      </c>
      <c r="D544" s="6" t="s">
        <v>274</v>
      </c>
      <c r="E544" s="6" t="s">
        <v>275</v>
      </c>
      <c r="F544" s="9">
        <v>45199</v>
      </c>
      <c r="G544" s="9">
        <v>45229</v>
      </c>
      <c r="H544" s="10">
        <v>487</v>
      </c>
      <c r="I544" s="11">
        <v>24240.3</v>
      </c>
      <c r="J544" s="6" t="s">
        <v>22</v>
      </c>
      <c r="K544" s="6" t="s">
        <v>21</v>
      </c>
      <c r="L544" s="6" t="s">
        <v>21</v>
      </c>
      <c r="M544" s="2">
        <f t="shared" si="8"/>
        <v>24240.3</v>
      </c>
    </row>
    <row r="545" spans="1:13" x14ac:dyDescent="0.25">
      <c r="A545" s="6" t="s">
        <v>7</v>
      </c>
      <c r="B545" s="6" t="s">
        <v>266</v>
      </c>
      <c r="C545" s="6" t="s">
        <v>267</v>
      </c>
      <c r="D545" s="6" t="s">
        <v>1483</v>
      </c>
      <c r="E545" s="6" t="s">
        <v>1484</v>
      </c>
      <c r="F545" s="9">
        <v>45715</v>
      </c>
      <c r="G545" s="9">
        <v>45729</v>
      </c>
      <c r="H545" s="12">
        <v>-13</v>
      </c>
      <c r="I545" s="11">
        <v>4032.64</v>
      </c>
      <c r="J545" s="6" t="s">
        <v>22</v>
      </c>
      <c r="K545" s="6" t="s">
        <v>21</v>
      </c>
      <c r="L545" s="6" t="s">
        <v>21</v>
      </c>
      <c r="M545" s="2" t="str">
        <f t="shared" si="8"/>
        <v/>
      </c>
    </row>
    <row r="546" spans="1:13" x14ac:dyDescent="0.25">
      <c r="A546" s="6" t="s">
        <v>7</v>
      </c>
      <c r="B546" s="6" t="s">
        <v>276</v>
      </c>
      <c r="C546" s="6" t="s">
        <v>277</v>
      </c>
      <c r="D546" s="6" t="s">
        <v>1485</v>
      </c>
      <c r="E546" s="6" t="s">
        <v>1486</v>
      </c>
      <c r="F546" s="9">
        <v>45704</v>
      </c>
      <c r="G546" s="9">
        <v>45718</v>
      </c>
      <c r="H546" s="12">
        <v>-2</v>
      </c>
      <c r="I546" s="11">
        <v>242510.38999999998</v>
      </c>
      <c r="J546" s="6" t="s">
        <v>22</v>
      </c>
      <c r="K546" s="6" t="s">
        <v>21</v>
      </c>
      <c r="L546" s="6" t="s">
        <v>21</v>
      </c>
      <c r="M546" s="2" t="str">
        <f t="shared" si="8"/>
        <v/>
      </c>
    </row>
    <row r="547" spans="1:13" x14ac:dyDescent="0.25">
      <c r="A547" s="6" t="s">
        <v>7</v>
      </c>
      <c r="B547" s="6" t="s">
        <v>278</v>
      </c>
      <c r="C547" s="6" t="s">
        <v>279</v>
      </c>
      <c r="D547" s="6" t="s">
        <v>280</v>
      </c>
      <c r="E547" s="6" t="s">
        <v>21</v>
      </c>
      <c r="F547" s="9">
        <v>45649</v>
      </c>
      <c r="G547" s="9">
        <v>45649</v>
      </c>
      <c r="H547" s="10">
        <v>67</v>
      </c>
      <c r="I547" s="13">
        <v>-21420</v>
      </c>
      <c r="J547" s="6" t="s">
        <v>22</v>
      </c>
      <c r="K547" s="6" t="s">
        <v>21</v>
      </c>
      <c r="L547" s="6" t="s">
        <v>21</v>
      </c>
      <c r="M547" s="2">
        <f t="shared" si="8"/>
        <v>-21420</v>
      </c>
    </row>
    <row r="548" spans="1:13" x14ac:dyDescent="0.25">
      <c r="A548" s="6" t="s">
        <v>7</v>
      </c>
      <c r="B548" s="6" t="s">
        <v>278</v>
      </c>
      <c r="C548" s="6" t="s">
        <v>279</v>
      </c>
      <c r="D548" s="6" t="s">
        <v>1487</v>
      </c>
      <c r="E548" s="6" t="s">
        <v>21</v>
      </c>
      <c r="F548" s="9">
        <v>45701</v>
      </c>
      <c r="G548" s="9">
        <v>45701</v>
      </c>
      <c r="H548" s="10">
        <v>15</v>
      </c>
      <c r="I548" s="13">
        <v>-12697.71</v>
      </c>
      <c r="J548" s="6" t="s">
        <v>22</v>
      </c>
      <c r="K548" s="6" t="s">
        <v>1488</v>
      </c>
      <c r="L548" s="6" t="s">
        <v>21</v>
      </c>
      <c r="M548" s="2">
        <f t="shared" si="8"/>
        <v>-12697.71</v>
      </c>
    </row>
    <row r="549" spans="1:13" x14ac:dyDescent="0.25">
      <c r="A549" s="6" t="s">
        <v>7</v>
      </c>
      <c r="B549" s="6" t="s">
        <v>278</v>
      </c>
      <c r="C549" s="6" t="s">
        <v>279</v>
      </c>
      <c r="D549" s="6" t="s">
        <v>1489</v>
      </c>
      <c r="E549" s="6" t="s">
        <v>1490</v>
      </c>
      <c r="F549" s="9">
        <v>45700</v>
      </c>
      <c r="G549" s="9">
        <v>45714</v>
      </c>
      <c r="H549" s="10">
        <v>2</v>
      </c>
      <c r="I549" s="11">
        <v>1065606.6200000001</v>
      </c>
      <c r="J549" s="6" t="s">
        <v>22</v>
      </c>
      <c r="K549" s="6" t="s">
        <v>21</v>
      </c>
      <c r="L549" s="6" t="s">
        <v>21</v>
      </c>
      <c r="M549" s="2">
        <f t="shared" si="8"/>
        <v>1065606.6200000001</v>
      </c>
    </row>
    <row r="550" spans="1:13" x14ac:dyDescent="0.25">
      <c r="A550" s="6" t="s">
        <v>7</v>
      </c>
      <c r="B550" s="6" t="s">
        <v>278</v>
      </c>
      <c r="C550" s="6" t="s">
        <v>279</v>
      </c>
      <c r="D550" s="6" t="s">
        <v>1491</v>
      </c>
      <c r="E550" s="6" t="s">
        <v>1492</v>
      </c>
      <c r="F550" s="9">
        <v>45700</v>
      </c>
      <c r="G550" s="9">
        <v>45714</v>
      </c>
      <c r="H550" s="10">
        <v>2</v>
      </c>
      <c r="I550" s="11">
        <v>62867.7</v>
      </c>
      <c r="J550" s="6" t="s">
        <v>22</v>
      </c>
      <c r="K550" s="6" t="s">
        <v>21</v>
      </c>
      <c r="L550" s="6" t="s">
        <v>21</v>
      </c>
      <c r="M550" s="2">
        <f t="shared" si="8"/>
        <v>62867.7</v>
      </c>
    </row>
    <row r="551" spans="1:13" x14ac:dyDescent="0.25">
      <c r="A551" s="6" t="s">
        <v>7</v>
      </c>
      <c r="B551" s="6" t="s">
        <v>278</v>
      </c>
      <c r="C551" s="6" t="s">
        <v>279</v>
      </c>
      <c r="D551" s="6" t="s">
        <v>281</v>
      </c>
      <c r="E551" s="6" t="s">
        <v>282</v>
      </c>
      <c r="F551" s="9">
        <v>45657</v>
      </c>
      <c r="G551" s="9">
        <v>45690</v>
      </c>
      <c r="H551" s="10">
        <v>26</v>
      </c>
      <c r="I551" s="11">
        <v>38597.67</v>
      </c>
      <c r="J551" s="6" t="s">
        <v>22</v>
      </c>
      <c r="K551" s="6" t="s">
        <v>283</v>
      </c>
      <c r="L551" s="6" t="s">
        <v>21</v>
      </c>
      <c r="M551" s="2">
        <f t="shared" si="8"/>
        <v>38597.67</v>
      </c>
    </row>
    <row r="552" spans="1:13" x14ac:dyDescent="0.25">
      <c r="A552" s="6" t="s">
        <v>7</v>
      </c>
      <c r="B552" s="6" t="s">
        <v>278</v>
      </c>
      <c r="C552" s="6" t="s">
        <v>279</v>
      </c>
      <c r="D552" s="6" t="s">
        <v>1493</v>
      </c>
      <c r="E552" s="6" t="s">
        <v>1494</v>
      </c>
      <c r="F552" s="9">
        <v>45688</v>
      </c>
      <c r="G552" s="9">
        <v>45722</v>
      </c>
      <c r="H552" s="12">
        <v>-6</v>
      </c>
      <c r="I552" s="11">
        <v>6689.29</v>
      </c>
      <c r="J552" s="6" t="s">
        <v>22</v>
      </c>
      <c r="K552" s="6" t="s">
        <v>283</v>
      </c>
      <c r="L552" s="6" t="s">
        <v>21</v>
      </c>
      <c r="M552" s="2" t="str">
        <f t="shared" si="8"/>
        <v/>
      </c>
    </row>
    <row r="553" spans="1:13" x14ac:dyDescent="0.25">
      <c r="A553" s="6" t="s">
        <v>7</v>
      </c>
      <c r="B553" s="6" t="s">
        <v>278</v>
      </c>
      <c r="C553" s="6" t="s">
        <v>279</v>
      </c>
      <c r="D553" s="6" t="s">
        <v>284</v>
      </c>
      <c r="E553" s="6" t="s">
        <v>285</v>
      </c>
      <c r="F553" s="9">
        <v>45366</v>
      </c>
      <c r="G553" s="9">
        <v>45380</v>
      </c>
      <c r="H553" s="10">
        <v>336</v>
      </c>
      <c r="I553" s="11">
        <v>59338.89</v>
      </c>
      <c r="J553" s="6" t="s">
        <v>22</v>
      </c>
      <c r="K553" s="39" t="s">
        <v>286</v>
      </c>
      <c r="L553" s="6" t="s">
        <v>21</v>
      </c>
      <c r="M553" s="2">
        <f t="shared" si="8"/>
        <v>59338.89</v>
      </c>
    </row>
    <row r="554" spans="1:13" x14ac:dyDescent="0.25">
      <c r="A554" s="6" t="s">
        <v>7</v>
      </c>
      <c r="B554" s="6" t="s">
        <v>278</v>
      </c>
      <c r="C554" s="6" t="s">
        <v>279</v>
      </c>
      <c r="D554" s="6" t="s">
        <v>287</v>
      </c>
      <c r="E554" s="6" t="s">
        <v>288</v>
      </c>
      <c r="F554" s="9">
        <v>45672</v>
      </c>
      <c r="G554" s="9">
        <v>45686</v>
      </c>
      <c r="H554" s="10">
        <v>30</v>
      </c>
      <c r="I554" s="11">
        <v>3994.9</v>
      </c>
      <c r="J554" s="6" t="s">
        <v>22</v>
      </c>
      <c r="K554" s="6" t="s">
        <v>21</v>
      </c>
      <c r="L554" s="6" t="s">
        <v>21</v>
      </c>
      <c r="M554" s="2">
        <f t="shared" si="8"/>
        <v>3994.9</v>
      </c>
    </row>
    <row r="555" spans="1:13" x14ac:dyDescent="0.25">
      <c r="A555" s="6" t="s">
        <v>7</v>
      </c>
      <c r="B555" s="6" t="s">
        <v>278</v>
      </c>
      <c r="C555" s="6" t="s">
        <v>279</v>
      </c>
      <c r="D555" s="6" t="s">
        <v>1495</v>
      </c>
      <c r="E555" s="6" t="s">
        <v>1496</v>
      </c>
      <c r="F555" s="9">
        <v>45693</v>
      </c>
      <c r="G555" s="9">
        <v>45707</v>
      </c>
      <c r="H555" s="10">
        <v>9</v>
      </c>
      <c r="I555" s="11">
        <v>268071.08999999997</v>
      </c>
      <c r="J555" s="6" t="s">
        <v>22</v>
      </c>
      <c r="K555" s="6" t="s">
        <v>21</v>
      </c>
      <c r="L555" s="6" t="s">
        <v>21</v>
      </c>
      <c r="M555" s="2">
        <f t="shared" si="8"/>
        <v>268071.08999999997</v>
      </c>
    </row>
    <row r="556" spans="1:13" x14ac:dyDescent="0.25">
      <c r="A556" s="6" t="s">
        <v>7</v>
      </c>
      <c r="B556" s="6" t="s">
        <v>278</v>
      </c>
      <c r="C556" s="6" t="s">
        <v>279</v>
      </c>
      <c r="D556" s="6" t="s">
        <v>1497</v>
      </c>
      <c r="E556" s="6" t="s">
        <v>1498</v>
      </c>
      <c r="F556" s="9">
        <v>45695</v>
      </c>
      <c r="G556" s="9">
        <v>45709</v>
      </c>
      <c r="H556" s="10">
        <v>7</v>
      </c>
      <c r="I556" s="11">
        <v>1689.37</v>
      </c>
      <c r="J556" s="6" t="s">
        <v>22</v>
      </c>
      <c r="K556" s="6" t="s">
        <v>21</v>
      </c>
      <c r="L556" s="6" t="s">
        <v>21</v>
      </c>
      <c r="M556" s="2">
        <f t="shared" si="8"/>
        <v>1689.37</v>
      </c>
    </row>
    <row r="557" spans="1:13" x14ac:dyDescent="0.25">
      <c r="A557" s="6" t="s">
        <v>7</v>
      </c>
      <c r="B557" s="6" t="s">
        <v>278</v>
      </c>
      <c r="C557" s="6" t="s">
        <v>279</v>
      </c>
      <c r="D557" s="6" t="s">
        <v>1499</v>
      </c>
      <c r="E557" s="6" t="s">
        <v>1500</v>
      </c>
      <c r="F557" s="9">
        <v>45695</v>
      </c>
      <c r="G557" s="9">
        <v>45709</v>
      </c>
      <c r="H557" s="10">
        <v>7</v>
      </c>
      <c r="I557" s="11">
        <v>10841.65</v>
      </c>
      <c r="J557" s="6" t="s">
        <v>22</v>
      </c>
      <c r="K557" s="6" t="s">
        <v>21</v>
      </c>
      <c r="L557" s="6" t="s">
        <v>21</v>
      </c>
      <c r="M557" s="2">
        <f t="shared" si="8"/>
        <v>10841.65</v>
      </c>
    </row>
    <row r="558" spans="1:13" x14ac:dyDescent="0.25">
      <c r="A558" s="6" t="s">
        <v>7</v>
      </c>
      <c r="B558" s="6" t="s">
        <v>278</v>
      </c>
      <c r="C558" s="6" t="s">
        <v>279</v>
      </c>
      <c r="D558" s="6" t="s">
        <v>1501</v>
      </c>
      <c r="E558" s="6" t="s">
        <v>1502</v>
      </c>
      <c r="F558" s="9">
        <v>45695</v>
      </c>
      <c r="G558" s="9">
        <v>45725</v>
      </c>
      <c r="H558" s="12">
        <v>-9</v>
      </c>
      <c r="I558" s="11">
        <v>40155.82</v>
      </c>
      <c r="J558" s="6" t="s">
        <v>22</v>
      </c>
      <c r="K558" s="6" t="s">
        <v>21</v>
      </c>
      <c r="L558" s="6" t="s">
        <v>21</v>
      </c>
      <c r="M558" s="2" t="str">
        <f t="shared" si="8"/>
        <v/>
      </c>
    </row>
    <row r="559" spans="1:13" x14ac:dyDescent="0.25">
      <c r="A559" s="6" t="s">
        <v>7</v>
      </c>
      <c r="B559" s="6" t="s">
        <v>278</v>
      </c>
      <c r="C559" s="6" t="s">
        <v>279</v>
      </c>
      <c r="D559" s="6" t="s">
        <v>1503</v>
      </c>
      <c r="E559" s="6" t="s">
        <v>1504</v>
      </c>
      <c r="F559" s="9">
        <v>45695</v>
      </c>
      <c r="G559" s="9">
        <v>45709</v>
      </c>
      <c r="H559" s="10">
        <v>7</v>
      </c>
      <c r="I559" s="11">
        <v>251.65</v>
      </c>
      <c r="J559" s="6" t="s">
        <v>22</v>
      </c>
      <c r="K559" s="6" t="s">
        <v>21</v>
      </c>
      <c r="L559" s="6" t="s">
        <v>21</v>
      </c>
      <c r="M559" s="2">
        <f t="shared" si="8"/>
        <v>251.65</v>
      </c>
    </row>
    <row r="560" spans="1:13" x14ac:dyDescent="0.25">
      <c r="A560" s="6" t="s">
        <v>7</v>
      </c>
      <c r="B560" s="6" t="s">
        <v>278</v>
      </c>
      <c r="C560" s="6" t="s">
        <v>279</v>
      </c>
      <c r="D560" s="6" t="s">
        <v>1505</v>
      </c>
      <c r="E560" s="6" t="s">
        <v>1506</v>
      </c>
      <c r="F560" s="9">
        <v>45695</v>
      </c>
      <c r="G560" s="9">
        <v>45709</v>
      </c>
      <c r="H560" s="10">
        <v>7</v>
      </c>
      <c r="I560" s="11">
        <v>6939.84</v>
      </c>
      <c r="J560" s="6" t="s">
        <v>22</v>
      </c>
      <c r="K560" s="6" t="s">
        <v>21</v>
      </c>
      <c r="L560" s="6" t="s">
        <v>21</v>
      </c>
      <c r="M560" s="2">
        <f t="shared" si="8"/>
        <v>6939.84</v>
      </c>
    </row>
    <row r="561" spans="1:13" x14ac:dyDescent="0.25">
      <c r="A561" s="6" t="s">
        <v>7</v>
      </c>
      <c r="B561" s="6" t="s">
        <v>278</v>
      </c>
      <c r="C561" s="6" t="s">
        <v>279</v>
      </c>
      <c r="D561" s="6" t="s">
        <v>1507</v>
      </c>
      <c r="E561" s="6" t="s">
        <v>1508</v>
      </c>
      <c r="F561" s="9">
        <v>45695</v>
      </c>
      <c r="G561" s="9">
        <v>45709</v>
      </c>
      <c r="H561" s="10">
        <v>7</v>
      </c>
      <c r="I561" s="11">
        <v>2119.2199999999998</v>
      </c>
      <c r="J561" s="6" t="s">
        <v>22</v>
      </c>
      <c r="K561" s="6" t="s">
        <v>21</v>
      </c>
      <c r="L561" s="6" t="s">
        <v>21</v>
      </c>
      <c r="M561" s="2">
        <f t="shared" si="8"/>
        <v>2119.2199999999998</v>
      </c>
    </row>
    <row r="562" spans="1:13" x14ac:dyDescent="0.25">
      <c r="A562" s="6" t="s">
        <v>7</v>
      </c>
      <c r="B562" s="6" t="s">
        <v>278</v>
      </c>
      <c r="C562" s="6" t="s">
        <v>279</v>
      </c>
      <c r="D562" s="6" t="s">
        <v>1509</v>
      </c>
      <c r="E562" s="6" t="s">
        <v>1510</v>
      </c>
      <c r="F562" s="9">
        <v>45695</v>
      </c>
      <c r="G562" s="9">
        <v>45709</v>
      </c>
      <c r="H562" s="10">
        <v>7</v>
      </c>
      <c r="I562" s="11">
        <v>2473.9499999999998</v>
      </c>
      <c r="J562" s="6" t="s">
        <v>22</v>
      </c>
      <c r="K562" s="6" t="s">
        <v>21</v>
      </c>
      <c r="L562" s="6" t="s">
        <v>21</v>
      </c>
      <c r="M562" s="2">
        <f t="shared" si="8"/>
        <v>2473.9499999999998</v>
      </c>
    </row>
    <row r="563" spans="1:13" x14ac:dyDescent="0.25">
      <c r="A563" s="6" t="s">
        <v>7</v>
      </c>
      <c r="B563" s="6" t="s">
        <v>278</v>
      </c>
      <c r="C563" s="6" t="s">
        <v>279</v>
      </c>
      <c r="D563" s="6" t="s">
        <v>1511</v>
      </c>
      <c r="E563" s="6" t="s">
        <v>1512</v>
      </c>
      <c r="F563" s="9">
        <v>45695</v>
      </c>
      <c r="G563" s="9">
        <v>45709</v>
      </c>
      <c r="H563" s="10">
        <v>7</v>
      </c>
      <c r="I563" s="11">
        <v>218.29</v>
      </c>
      <c r="J563" s="6" t="s">
        <v>22</v>
      </c>
      <c r="K563" s="6" t="s">
        <v>21</v>
      </c>
      <c r="L563" s="6" t="s">
        <v>21</v>
      </c>
      <c r="M563" s="2">
        <f t="shared" si="8"/>
        <v>218.29</v>
      </c>
    </row>
    <row r="564" spans="1:13" x14ac:dyDescent="0.25">
      <c r="A564" s="6" t="s">
        <v>7</v>
      </c>
      <c r="B564" s="6" t="s">
        <v>278</v>
      </c>
      <c r="C564" s="6" t="s">
        <v>279</v>
      </c>
      <c r="D564" s="6" t="s">
        <v>1513</v>
      </c>
      <c r="E564" s="6" t="s">
        <v>1514</v>
      </c>
      <c r="F564" s="9">
        <v>45695</v>
      </c>
      <c r="G564" s="9">
        <v>45709</v>
      </c>
      <c r="H564" s="10">
        <v>7</v>
      </c>
      <c r="I564" s="11">
        <v>3086.76</v>
      </c>
      <c r="J564" s="6" t="s">
        <v>22</v>
      </c>
      <c r="K564" s="6" t="s">
        <v>21</v>
      </c>
      <c r="L564" s="6" t="s">
        <v>21</v>
      </c>
      <c r="M564" s="2">
        <f t="shared" si="8"/>
        <v>3086.76</v>
      </c>
    </row>
    <row r="565" spans="1:13" x14ac:dyDescent="0.25">
      <c r="A565" s="6" t="s">
        <v>7</v>
      </c>
      <c r="B565" s="6" t="s">
        <v>278</v>
      </c>
      <c r="C565" s="6" t="s">
        <v>279</v>
      </c>
      <c r="D565" s="6" t="s">
        <v>1515</v>
      </c>
      <c r="E565" s="6" t="s">
        <v>1516</v>
      </c>
      <c r="F565" s="9">
        <v>45695</v>
      </c>
      <c r="G565" s="9">
        <v>45709</v>
      </c>
      <c r="H565" s="10">
        <v>7</v>
      </c>
      <c r="I565" s="11">
        <v>1702.47</v>
      </c>
      <c r="J565" s="6" t="s">
        <v>22</v>
      </c>
      <c r="K565" s="6" t="s">
        <v>21</v>
      </c>
      <c r="L565" s="6" t="s">
        <v>21</v>
      </c>
      <c r="M565" s="2">
        <f t="shared" si="8"/>
        <v>1702.47</v>
      </c>
    </row>
    <row r="566" spans="1:13" x14ac:dyDescent="0.25">
      <c r="A566" s="6" t="s">
        <v>7</v>
      </c>
      <c r="B566" s="6" t="s">
        <v>278</v>
      </c>
      <c r="C566" s="6" t="s">
        <v>279</v>
      </c>
      <c r="D566" s="6" t="s">
        <v>1517</v>
      </c>
      <c r="E566" s="6" t="s">
        <v>1518</v>
      </c>
      <c r="F566" s="9">
        <v>45695</v>
      </c>
      <c r="G566" s="9">
        <v>45709</v>
      </c>
      <c r="H566" s="10">
        <v>7</v>
      </c>
      <c r="I566" s="11">
        <v>195.11</v>
      </c>
      <c r="J566" s="6" t="s">
        <v>22</v>
      </c>
      <c r="K566" s="6" t="s">
        <v>21</v>
      </c>
      <c r="L566" s="6" t="s">
        <v>21</v>
      </c>
      <c r="M566" s="2">
        <f t="shared" si="8"/>
        <v>195.11</v>
      </c>
    </row>
    <row r="567" spans="1:13" x14ac:dyDescent="0.25">
      <c r="A567" s="6" t="s">
        <v>7</v>
      </c>
      <c r="B567" s="6" t="s">
        <v>278</v>
      </c>
      <c r="C567" s="6" t="s">
        <v>279</v>
      </c>
      <c r="D567" s="6" t="s">
        <v>289</v>
      </c>
      <c r="E567" s="6" t="s">
        <v>290</v>
      </c>
      <c r="F567" s="9">
        <v>45535</v>
      </c>
      <c r="G567" s="9">
        <v>45568</v>
      </c>
      <c r="H567" s="10">
        <v>148</v>
      </c>
      <c r="I567" s="11">
        <v>10370.85</v>
      </c>
      <c r="J567" s="6" t="s">
        <v>22</v>
      </c>
      <c r="K567" s="6" t="s">
        <v>291</v>
      </c>
      <c r="L567" s="6" t="s">
        <v>21</v>
      </c>
      <c r="M567" s="2">
        <f t="shared" si="8"/>
        <v>10370.85</v>
      </c>
    </row>
    <row r="568" spans="1:13" x14ac:dyDescent="0.25">
      <c r="A568" s="6" t="s">
        <v>7</v>
      </c>
      <c r="B568" s="6" t="s">
        <v>278</v>
      </c>
      <c r="C568" s="6" t="s">
        <v>279</v>
      </c>
      <c r="D568" s="6" t="s">
        <v>292</v>
      </c>
      <c r="E568" s="6" t="s">
        <v>293</v>
      </c>
      <c r="F568" s="9">
        <v>45342</v>
      </c>
      <c r="G568" s="9">
        <v>45356</v>
      </c>
      <c r="H568" s="10">
        <v>360</v>
      </c>
      <c r="I568" s="11">
        <v>193.28</v>
      </c>
      <c r="J568" s="6" t="s">
        <v>22</v>
      </c>
      <c r="K568" s="39" t="s">
        <v>294</v>
      </c>
      <c r="L568" s="6" t="s">
        <v>21</v>
      </c>
      <c r="M568" s="2">
        <f t="shared" si="8"/>
        <v>193.28</v>
      </c>
    </row>
    <row r="569" spans="1:13" x14ac:dyDescent="0.25">
      <c r="A569" s="6" t="s">
        <v>7</v>
      </c>
      <c r="B569" s="6" t="s">
        <v>295</v>
      </c>
      <c r="C569" s="6" t="s">
        <v>296</v>
      </c>
      <c r="D569" s="6" t="s">
        <v>297</v>
      </c>
      <c r="E569" s="6" t="s">
        <v>298</v>
      </c>
      <c r="F569" s="9">
        <v>45390</v>
      </c>
      <c r="G569" s="9">
        <v>45404</v>
      </c>
      <c r="H569" s="10">
        <v>312</v>
      </c>
      <c r="I569" s="11">
        <v>115.36</v>
      </c>
      <c r="J569" s="6" t="s">
        <v>22</v>
      </c>
      <c r="K569" s="39" t="s">
        <v>299</v>
      </c>
      <c r="L569" s="6" t="s">
        <v>21</v>
      </c>
      <c r="M569" s="2">
        <f t="shared" si="8"/>
        <v>115.36</v>
      </c>
    </row>
    <row r="570" spans="1:13" x14ac:dyDescent="0.25">
      <c r="A570" s="6" t="s">
        <v>7</v>
      </c>
      <c r="B570" s="6" t="s">
        <v>295</v>
      </c>
      <c r="C570" s="6" t="s">
        <v>296</v>
      </c>
      <c r="D570" s="6" t="s">
        <v>300</v>
      </c>
      <c r="E570" s="6" t="s">
        <v>301</v>
      </c>
      <c r="F570" s="9">
        <v>45371</v>
      </c>
      <c r="G570" s="9">
        <v>45385</v>
      </c>
      <c r="H570" s="10">
        <v>331</v>
      </c>
      <c r="I570" s="11">
        <v>115.36</v>
      </c>
      <c r="J570" s="6" t="s">
        <v>22</v>
      </c>
      <c r="K570" s="39" t="s">
        <v>299</v>
      </c>
      <c r="L570" s="6" t="s">
        <v>21</v>
      </c>
      <c r="M570" s="2">
        <f t="shared" si="8"/>
        <v>115.36</v>
      </c>
    </row>
    <row r="571" spans="1:13" x14ac:dyDescent="0.25">
      <c r="A571" s="6" t="s">
        <v>7</v>
      </c>
      <c r="B571" s="6" t="s">
        <v>295</v>
      </c>
      <c r="C571" s="6" t="s">
        <v>296</v>
      </c>
      <c r="D571" s="6" t="s">
        <v>302</v>
      </c>
      <c r="E571" s="6" t="s">
        <v>303</v>
      </c>
      <c r="F571" s="9">
        <v>45467</v>
      </c>
      <c r="G571" s="9">
        <v>45497</v>
      </c>
      <c r="H571" s="10">
        <v>219</v>
      </c>
      <c r="I571" s="13">
        <v>-654.5</v>
      </c>
      <c r="J571" s="6" t="s">
        <v>22</v>
      </c>
      <c r="K571" s="6" t="s">
        <v>304</v>
      </c>
      <c r="L571" s="6" t="s">
        <v>21</v>
      </c>
      <c r="M571" s="2">
        <f t="shared" si="8"/>
        <v>-654.5</v>
      </c>
    </row>
    <row r="572" spans="1:13" x14ac:dyDescent="0.25">
      <c r="A572" s="6" t="s">
        <v>7</v>
      </c>
      <c r="B572" s="6" t="s">
        <v>295</v>
      </c>
      <c r="C572" s="6" t="s">
        <v>296</v>
      </c>
      <c r="D572" s="6" t="s">
        <v>1519</v>
      </c>
      <c r="E572" s="6" t="s">
        <v>1520</v>
      </c>
      <c r="F572" s="9">
        <v>45713</v>
      </c>
      <c r="G572" s="9">
        <v>45727</v>
      </c>
      <c r="H572" s="12">
        <v>-11</v>
      </c>
      <c r="I572" s="11">
        <v>10710</v>
      </c>
      <c r="J572" s="6" t="s">
        <v>22</v>
      </c>
      <c r="K572" s="6" t="s">
        <v>21</v>
      </c>
      <c r="L572" s="6" t="s">
        <v>21</v>
      </c>
      <c r="M572" s="2" t="str">
        <f t="shared" si="8"/>
        <v/>
      </c>
    </row>
    <row r="573" spans="1:13" x14ac:dyDescent="0.25">
      <c r="A573" s="6" t="s">
        <v>7</v>
      </c>
      <c r="B573" s="6" t="s">
        <v>305</v>
      </c>
      <c r="C573" s="6" t="s">
        <v>306</v>
      </c>
      <c r="D573" s="6" t="s">
        <v>307</v>
      </c>
      <c r="E573" s="6" t="s">
        <v>308</v>
      </c>
      <c r="F573" s="9">
        <v>45593</v>
      </c>
      <c r="G573" s="9">
        <v>45623</v>
      </c>
      <c r="H573" s="10">
        <v>93</v>
      </c>
      <c r="I573" s="11">
        <v>5950</v>
      </c>
      <c r="J573" s="6" t="s">
        <v>22</v>
      </c>
      <c r="K573" s="6" t="s">
        <v>309</v>
      </c>
      <c r="L573" s="6" t="s">
        <v>21</v>
      </c>
      <c r="M573" s="2">
        <f t="shared" si="8"/>
        <v>5950</v>
      </c>
    </row>
    <row r="574" spans="1:13" x14ac:dyDescent="0.25">
      <c r="A574" s="6" t="s">
        <v>7</v>
      </c>
      <c r="B574" s="6" t="s">
        <v>310</v>
      </c>
      <c r="C574" s="6" t="s">
        <v>311</v>
      </c>
      <c r="D574" s="6" t="s">
        <v>1521</v>
      </c>
      <c r="E574" s="6" t="s">
        <v>1522</v>
      </c>
      <c r="F574" s="9">
        <v>45695</v>
      </c>
      <c r="G574" s="9">
        <v>45709</v>
      </c>
      <c r="H574" s="10">
        <v>7</v>
      </c>
      <c r="I574" s="11">
        <v>620937.43999999994</v>
      </c>
      <c r="J574" s="6" t="s">
        <v>22</v>
      </c>
      <c r="K574" s="6" t="s">
        <v>21</v>
      </c>
      <c r="L574" s="6" t="s">
        <v>21</v>
      </c>
      <c r="M574" s="2">
        <f t="shared" si="8"/>
        <v>620937.43999999994</v>
      </c>
    </row>
    <row r="575" spans="1:13" x14ac:dyDescent="0.25">
      <c r="A575" s="6" t="s">
        <v>7</v>
      </c>
      <c r="B575" s="6" t="s">
        <v>310</v>
      </c>
      <c r="C575" s="6" t="s">
        <v>311</v>
      </c>
      <c r="D575" s="6" t="s">
        <v>1523</v>
      </c>
      <c r="E575" s="6" t="s">
        <v>1524</v>
      </c>
      <c r="F575" s="9">
        <v>45695</v>
      </c>
      <c r="G575" s="9">
        <v>45709</v>
      </c>
      <c r="H575" s="10">
        <v>7</v>
      </c>
      <c r="I575" s="11">
        <v>36925.19</v>
      </c>
      <c r="J575" s="6" t="s">
        <v>22</v>
      </c>
      <c r="K575" s="6" t="s">
        <v>21</v>
      </c>
      <c r="L575" s="6" t="s">
        <v>21</v>
      </c>
      <c r="M575" s="2">
        <f t="shared" si="8"/>
        <v>36925.19</v>
      </c>
    </row>
    <row r="576" spans="1:13" x14ac:dyDescent="0.25">
      <c r="A576" s="6" t="s">
        <v>7</v>
      </c>
      <c r="B576" s="6" t="s">
        <v>310</v>
      </c>
      <c r="C576" s="6" t="s">
        <v>311</v>
      </c>
      <c r="D576" s="6" t="s">
        <v>1525</v>
      </c>
      <c r="E576" s="6" t="s">
        <v>1526</v>
      </c>
      <c r="F576" s="9">
        <v>45695</v>
      </c>
      <c r="G576" s="9">
        <v>45709</v>
      </c>
      <c r="H576" s="10">
        <v>7</v>
      </c>
      <c r="I576" s="11">
        <v>94128.9</v>
      </c>
      <c r="J576" s="6" t="s">
        <v>22</v>
      </c>
      <c r="K576" s="6" t="s">
        <v>21</v>
      </c>
      <c r="L576" s="6" t="s">
        <v>21</v>
      </c>
      <c r="M576" s="2">
        <f t="shared" si="8"/>
        <v>94128.9</v>
      </c>
    </row>
    <row r="577" spans="1:13" x14ac:dyDescent="0.25">
      <c r="A577" s="6" t="s">
        <v>7</v>
      </c>
      <c r="B577" s="6" t="s">
        <v>310</v>
      </c>
      <c r="C577" s="6" t="s">
        <v>311</v>
      </c>
      <c r="D577" s="6" t="s">
        <v>1527</v>
      </c>
      <c r="E577" s="6" t="s">
        <v>1528</v>
      </c>
      <c r="F577" s="9">
        <v>45695</v>
      </c>
      <c r="G577" s="9">
        <v>45709</v>
      </c>
      <c r="H577" s="10">
        <v>7</v>
      </c>
      <c r="I577" s="11">
        <v>42563.33</v>
      </c>
      <c r="J577" s="6" t="s">
        <v>22</v>
      </c>
      <c r="K577" s="6" t="s">
        <v>21</v>
      </c>
      <c r="L577" s="6" t="s">
        <v>21</v>
      </c>
      <c r="M577" s="2">
        <f t="shared" si="8"/>
        <v>42563.33</v>
      </c>
    </row>
    <row r="578" spans="1:13" x14ac:dyDescent="0.25">
      <c r="A578" s="6" t="s">
        <v>7</v>
      </c>
      <c r="B578" s="6" t="s">
        <v>310</v>
      </c>
      <c r="C578" s="6" t="s">
        <v>311</v>
      </c>
      <c r="D578" s="6" t="s">
        <v>1529</v>
      </c>
      <c r="E578" s="6" t="s">
        <v>1530</v>
      </c>
      <c r="F578" s="9">
        <v>45695</v>
      </c>
      <c r="G578" s="9">
        <v>45709</v>
      </c>
      <c r="H578" s="10">
        <v>7</v>
      </c>
      <c r="I578" s="11">
        <v>16957.5</v>
      </c>
      <c r="J578" s="6" t="s">
        <v>22</v>
      </c>
      <c r="K578" s="6" t="s">
        <v>21</v>
      </c>
      <c r="L578" s="6" t="s">
        <v>21</v>
      </c>
      <c r="M578" s="2">
        <f t="shared" si="8"/>
        <v>16957.5</v>
      </c>
    </row>
    <row r="579" spans="1:13" x14ac:dyDescent="0.25">
      <c r="A579" s="6" t="s">
        <v>7</v>
      </c>
      <c r="B579" s="6" t="s">
        <v>310</v>
      </c>
      <c r="C579" s="6" t="s">
        <v>311</v>
      </c>
      <c r="D579" s="6" t="s">
        <v>1531</v>
      </c>
      <c r="E579" s="6" t="s">
        <v>1532</v>
      </c>
      <c r="F579" s="9">
        <v>45695</v>
      </c>
      <c r="G579" s="9">
        <v>45709</v>
      </c>
      <c r="H579" s="10">
        <v>7</v>
      </c>
      <c r="I579" s="11">
        <v>15544.38</v>
      </c>
      <c r="J579" s="6" t="s">
        <v>22</v>
      </c>
      <c r="K579" s="6" t="s">
        <v>21</v>
      </c>
      <c r="L579" s="6" t="s">
        <v>21</v>
      </c>
      <c r="M579" s="2">
        <f t="shared" ref="M579:M642" si="9">IF(H579&gt;0,I579,"")</f>
        <v>15544.38</v>
      </c>
    </row>
    <row r="580" spans="1:13" x14ac:dyDescent="0.25">
      <c r="A580" s="6" t="s">
        <v>7</v>
      </c>
      <c r="B580" s="6" t="s">
        <v>310</v>
      </c>
      <c r="C580" s="6" t="s">
        <v>311</v>
      </c>
      <c r="D580" s="6" t="s">
        <v>1533</v>
      </c>
      <c r="E580" s="6" t="s">
        <v>1534</v>
      </c>
      <c r="F580" s="9">
        <v>45695</v>
      </c>
      <c r="G580" s="9">
        <v>45709</v>
      </c>
      <c r="H580" s="10">
        <v>7</v>
      </c>
      <c r="I580" s="11">
        <v>8902.69</v>
      </c>
      <c r="J580" s="6" t="s">
        <v>22</v>
      </c>
      <c r="K580" s="6" t="s">
        <v>21</v>
      </c>
      <c r="L580" s="6" t="s">
        <v>21</v>
      </c>
      <c r="M580" s="2">
        <f t="shared" si="9"/>
        <v>8902.69</v>
      </c>
    </row>
    <row r="581" spans="1:13" x14ac:dyDescent="0.25">
      <c r="A581" s="6" t="s">
        <v>7</v>
      </c>
      <c r="B581" s="6" t="s">
        <v>310</v>
      </c>
      <c r="C581" s="6" t="s">
        <v>311</v>
      </c>
      <c r="D581" s="6" t="s">
        <v>1535</v>
      </c>
      <c r="E581" s="6" t="s">
        <v>1536</v>
      </c>
      <c r="F581" s="9">
        <v>45695</v>
      </c>
      <c r="G581" s="9">
        <v>45709</v>
      </c>
      <c r="H581" s="10">
        <v>7</v>
      </c>
      <c r="I581" s="11">
        <v>41619.07</v>
      </c>
      <c r="J581" s="6" t="s">
        <v>22</v>
      </c>
      <c r="K581" s="6" t="s">
        <v>21</v>
      </c>
      <c r="L581" s="6" t="s">
        <v>21</v>
      </c>
      <c r="M581" s="2">
        <f t="shared" si="9"/>
        <v>41619.07</v>
      </c>
    </row>
    <row r="582" spans="1:13" x14ac:dyDescent="0.25">
      <c r="A582" s="6" t="s">
        <v>7</v>
      </c>
      <c r="B582" s="6" t="s">
        <v>312</v>
      </c>
      <c r="C582" s="6" t="s">
        <v>313</v>
      </c>
      <c r="D582" s="6" t="s">
        <v>1537</v>
      </c>
      <c r="E582" s="6" t="s">
        <v>1538</v>
      </c>
      <c r="F582" s="9">
        <v>45703</v>
      </c>
      <c r="G582" s="9">
        <v>45733</v>
      </c>
      <c r="H582" s="12">
        <v>-17</v>
      </c>
      <c r="I582" s="11">
        <v>131219.94</v>
      </c>
      <c r="J582" s="6" t="s">
        <v>22</v>
      </c>
      <c r="K582" s="6" t="s">
        <v>21</v>
      </c>
      <c r="L582" s="6" t="s">
        <v>21</v>
      </c>
      <c r="M582" s="2" t="str">
        <f t="shared" si="9"/>
        <v/>
      </c>
    </row>
    <row r="583" spans="1:13" x14ac:dyDescent="0.25">
      <c r="A583" s="6" t="s">
        <v>7</v>
      </c>
      <c r="B583" s="6" t="s">
        <v>312</v>
      </c>
      <c r="C583" s="6" t="s">
        <v>313</v>
      </c>
      <c r="D583" s="6" t="s">
        <v>1539</v>
      </c>
      <c r="E583" s="6" t="s">
        <v>1540</v>
      </c>
      <c r="F583" s="9">
        <v>45709</v>
      </c>
      <c r="G583" s="9">
        <v>45739</v>
      </c>
      <c r="H583" s="12">
        <v>-23</v>
      </c>
      <c r="I583" s="11">
        <v>118.35</v>
      </c>
      <c r="J583" s="6" t="s">
        <v>22</v>
      </c>
      <c r="K583" s="6" t="s">
        <v>21</v>
      </c>
      <c r="L583" s="6" t="s">
        <v>21</v>
      </c>
      <c r="M583" s="2" t="str">
        <f t="shared" si="9"/>
        <v/>
      </c>
    </row>
    <row r="584" spans="1:13" x14ac:dyDescent="0.25">
      <c r="A584" s="6" t="s">
        <v>7</v>
      </c>
      <c r="B584" s="6" t="s">
        <v>312</v>
      </c>
      <c r="C584" s="6" t="s">
        <v>313</v>
      </c>
      <c r="D584" s="6" t="s">
        <v>1541</v>
      </c>
      <c r="E584" s="6" t="s">
        <v>1542</v>
      </c>
      <c r="F584" s="9">
        <v>45709</v>
      </c>
      <c r="G584" s="9">
        <v>45739</v>
      </c>
      <c r="H584" s="12">
        <v>-23</v>
      </c>
      <c r="I584" s="11">
        <v>26.3</v>
      </c>
      <c r="J584" s="6" t="s">
        <v>22</v>
      </c>
      <c r="K584" s="6" t="s">
        <v>21</v>
      </c>
      <c r="L584" s="6" t="s">
        <v>21</v>
      </c>
      <c r="M584" s="2" t="str">
        <f t="shared" si="9"/>
        <v/>
      </c>
    </row>
    <row r="585" spans="1:13" x14ac:dyDescent="0.25">
      <c r="A585" s="6" t="s">
        <v>7</v>
      </c>
      <c r="B585" s="6" t="s">
        <v>312</v>
      </c>
      <c r="C585" s="6" t="s">
        <v>313</v>
      </c>
      <c r="D585" s="6" t="s">
        <v>314</v>
      </c>
      <c r="E585" s="6" t="s">
        <v>315</v>
      </c>
      <c r="F585" s="9">
        <v>45334</v>
      </c>
      <c r="G585" s="9">
        <v>45364</v>
      </c>
      <c r="H585" s="10">
        <v>352</v>
      </c>
      <c r="I585" s="11">
        <v>183.37</v>
      </c>
      <c r="J585" s="6" t="s">
        <v>22</v>
      </c>
      <c r="K585" s="6" t="s">
        <v>316</v>
      </c>
      <c r="L585" s="6" t="s">
        <v>21</v>
      </c>
      <c r="M585" s="2">
        <f t="shared" si="9"/>
        <v>183.37</v>
      </c>
    </row>
    <row r="586" spans="1:13" x14ac:dyDescent="0.25">
      <c r="A586" s="6" t="s">
        <v>7</v>
      </c>
      <c r="B586" s="6" t="s">
        <v>312</v>
      </c>
      <c r="C586" s="6" t="s">
        <v>313</v>
      </c>
      <c r="D586" s="6" t="s">
        <v>1543</v>
      </c>
      <c r="E586" s="6" t="s">
        <v>1544</v>
      </c>
      <c r="F586" s="9">
        <v>45693</v>
      </c>
      <c r="G586" s="9">
        <v>45723</v>
      </c>
      <c r="H586" s="12">
        <v>-7</v>
      </c>
      <c r="I586" s="11">
        <v>1810.82</v>
      </c>
      <c r="J586" s="6" t="s">
        <v>22</v>
      </c>
      <c r="K586" s="6" t="s">
        <v>21</v>
      </c>
      <c r="L586" s="6" t="s">
        <v>21</v>
      </c>
      <c r="M586" s="2" t="str">
        <f t="shared" si="9"/>
        <v/>
      </c>
    </row>
    <row r="587" spans="1:13" x14ac:dyDescent="0.25">
      <c r="A587" s="6" t="s">
        <v>7</v>
      </c>
      <c r="B587" s="6" t="s">
        <v>1545</v>
      </c>
      <c r="C587" s="6" t="s">
        <v>1546</v>
      </c>
      <c r="D587" s="6" t="s">
        <v>1547</v>
      </c>
      <c r="E587" s="6" t="s">
        <v>1548</v>
      </c>
      <c r="F587" s="9">
        <v>45695</v>
      </c>
      <c r="G587" s="9">
        <v>45709</v>
      </c>
      <c r="H587" s="10">
        <v>7</v>
      </c>
      <c r="I587" s="11">
        <v>177233.72</v>
      </c>
      <c r="J587" s="6" t="s">
        <v>22</v>
      </c>
      <c r="K587" s="6" t="s">
        <v>21</v>
      </c>
      <c r="L587" s="6" t="s">
        <v>21</v>
      </c>
      <c r="M587" s="2">
        <f t="shared" si="9"/>
        <v>177233.72</v>
      </c>
    </row>
    <row r="588" spans="1:13" x14ac:dyDescent="0.25">
      <c r="A588" s="6" t="s">
        <v>7</v>
      </c>
      <c r="B588" s="6" t="s">
        <v>317</v>
      </c>
      <c r="C588" s="6" t="s">
        <v>318</v>
      </c>
      <c r="D588" s="6" t="s">
        <v>319</v>
      </c>
      <c r="E588" s="6" t="s">
        <v>320</v>
      </c>
      <c r="F588" s="9">
        <v>44516</v>
      </c>
      <c r="G588" s="9">
        <v>44516</v>
      </c>
      <c r="H588" s="10">
        <v>1200</v>
      </c>
      <c r="I588" s="13">
        <v>-4307.8</v>
      </c>
      <c r="J588" s="6" t="s">
        <v>22</v>
      </c>
      <c r="K588" s="6" t="s">
        <v>321</v>
      </c>
      <c r="L588" s="6" t="s">
        <v>21</v>
      </c>
      <c r="M588" s="2">
        <f t="shared" si="9"/>
        <v>-4307.8</v>
      </c>
    </row>
    <row r="589" spans="1:13" x14ac:dyDescent="0.25">
      <c r="A589" s="6" t="s">
        <v>7</v>
      </c>
      <c r="B589" s="6" t="s">
        <v>322</v>
      </c>
      <c r="C589" s="6" t="s">
        <v>323</v>
      </c>
      <c r="D589" s="6" t="s">
        <v>324</v>
      </c>
      <c r="E589" s="6" t="s">
        <v>21</v>
      </c>
      <c r="F589" s="9">
        <v>45576</v>
      </c>
      <c r="G589" s="9">
        <v>45576</v>
      </c>
      <c r="H589" s="10">
        <v>140</v>
      </c>
      <c r="I589" s="13">
        <v>-1654.1</v>
      </c>
      <c r="J589" s="6" t="s">
        <v>22</v>
      </c>
      <c r="K589" s="6" t="s">
        <v>21</v>
      </c>
      <c r="L589" s="6" t="s">
        <v>21</v>
      </c>
      <c r="M589" s="2">
        <f t="shared" si="9"/>
        <v>-1654.1</v>
      </c>
    </row>
    <row r="590" spans="1:13" x14ac:dyDescent="0.25">
      <c r="A590" s="6" t="s">
        <v>7</v>
      </c>
      <c r="B590" s="6" t="s">
        <v>325</v>
      </c>
      <c r="C590" s="6" t="s">
        <v>326</v>
      </c>
      <c r="D590" s="6" t="s">
        <v>327</v>
      </c>
      <c r="E590" s="6" t="s">
        <v>328</v>
      </c>
      <c r="F590" s="9">
        <v>45631</v>
      </c>
      <c r="G590" s="9">
        <v>45645</v>
      </c>
      <c r="H590" s="10">
        <v>71</v>
      </c>
      <c r="I590" s="11">
        <v>7781.03</v>
      </c>
      <c r="J590" s="6" t="s">
        <v>22</v>
      </c>
      <c r="K590" s="6" t="s">
        <v>21</v>
      </c>
      <c r="L590" s="6" t="s">
        <v>21</v>
      </c>
      <c r="M590" s="2">
        <f t="shared" si="9"/>
        <v>7781.03</v>
      </c>
    </row>
    <row r="591" spans="1:13" x14ac:dyDescent="0.25">
      <c r="A591" s="6" t="s">
        <v>7</v>
      </c>
      <c r="B591" s="6" t="s">
        <v>325</v>
      </c>
      <c r="C591" s="6" t="s">
        <v>326</v>
      </c>
      <c r="D591" s="6" t="s">
        <v>1549</v>
      </c>
      <c r="E591" s="6" t="s">
        <v>1550</v>
      </c>
      <c r="F591" s="9">
        <v>45687</v>
      </c>
      <c r="G591" s="9">
        <v>45717</v>
      </c>
      <c r="H591" s="12">
        <v>-1</v>
      </c>
      <c r="I591" s="11">
        <v>2998.8</v>
      </c>
      <c r="J591" s="6" t="s">
        <v>22</v>
      </c>
      <c r="K591" s="6" t="s">
        <v>1551</v>
      </c>
      <c r="L591" s="6" t="s">
        <v>21</v>
      </c>
      <c r="M591" s="2" t="str">
        <f t="shared" si="9"/>
        <v/>
      </c>
    </row>
    <row r="592" spans="1:13" x14ac:dyDescent="0.25">
      <c r="A592" s="6" t="s">
        <v>7</v>
      </c>
      <c r="B592" s="6" t="s">
        <v>325</v>
      </c>
      <c r="C592" s="6" t="s">
        <v>326</v>
      </c>
      <c r="D592" s="6" t="s">
        <v>1552</v>
      </c>
      <c r="E592" s="6" t="s">
        <v>1553</v>
      </c>
      <c r="F592" s="9">
        <v>45709</v>
      </c>
      <c r="G592" s="9">
        <v>45723</v>
      </c>
      <c r="H592" s="12">
        <v>-7</v>
      </c>
      <c r="I592" s="11">
        <v>3182.57</v>
      </c>
      <c r="J592" s="6" t="s">
        <v>22</v>
      </c>
      <c r="K592" s="6" t="s">
        <v>21</v>
      </c>
      <c r="L592" s="6" t="s">
        <v>21</v>
      </c>
      <c r="M592" s="2" t="str">
        <f t="shared" si="9"/>
        <v/>
      </c>
    </row>
    <row r="593" spans="1:13" x14ac:dyDescent="0.25">
      <c r="A593" s="6" t="s">
        <v>7</v>
      </c>
      <c r="B593" s="6" t="s">
        <v>325</v>
      </c>
      <c r="C593" s="6" t="s">
        <v>326</v>
      </c>
      <c r="D593" s="6" t="s">
        <v>1554</v>
      </c>
      <c r="E593" s="6" t="s">
        <v>1555</v>
      </c>
      <c r="F593" s="9">
        <v>45696</v>
      </c>
      <c r="G593" s="9">
        <v>45710</v>
      </c>
      <c r="H593" s="10">
        <v>6</v>
      </c>
      <c r="I593" s="11">
        <v>13239.24</v>
      </c>
      <c r="J593" s="6" t="s">
        <v>22</v>
      </c>
      <c r="K593" s="6" t="s">
        <v>21</v>
      </c>
      <c r="L593" s="6" t="s">
        <v>21</v>
      </c>
      <c r="M593" s="2">
        <f t="shared" si="9"/>
        <v>13239.24</v>
      </c>
    </row>
    <row r="594" spans="1:13" x14ac:dyDescent="0.25">
      <c r="A594" s="6" t="s">
        <v>7</v>
      </c>
      <c r="B594" s="6" t="s">
        <v>325</v>
      </c>
      <c r="C594" s="6" t="s">
        <v>326</v>
      </c>
      <c r="D594" s="6" t="s">
        <v>1556</v>
      </c>
      <c r="E594" s="6" t="s">
        <v>1557</v>
      </c>
      <c r="F594" s="9">
        <v>45695</v>
      </c>
      <c r="G594" s="9">
        <v>45709</v>
      </c>
      <c r="H594" s="10">
        <v>7</v>
      </c>
      <c r="I594" s="11">
        <v>35926.9</v>
      </c>
      <c r="J594" s="6" t="s">
        <v>22</v>
      </c>
      <c r="K594" s="6" t="s">
        <v>21</v>
      </c>
      <c r="L594" s="6" t="s">
        <v>21</v>
      </c>
      <c r="M594" s="2">
        <f t="shared" si="9"/>
        <v>35926.9</v>
      </c>
    </row>
    <row r="595" spans="1:13" x14ac:dyDescent="0.25">
      <c r="A595" s="6" t="s">
        <v>7</v>
      </c>
      <c r="B595" s="6" t="s">
        <v>325</v>
      </c>
      <c r="C595" s="6" t="s">
        <v>326</v>
      </c>
      <c r="D595" s="6" t="s">
        <v>1558</v>
      </c>
      <c r="E595" s="6" t="s">
        <v>1559</v>
      </c>
      <c r="F595" s="9">
        <v>45695</v>
      </c>
      <c r="G595" s="9">
        <v>45709</v>
      </c>
      <c r="H595" s="10">
        <v>7</v>
      </c>
      <c r="I595" s="11">
        <v>13661.87</v>
      </c>
      <c r="J595" s="6" t="s">
        <v>22</v>
      </c>
      <c r="K595" s="6" t="s">
        <v>21</v>
      </c>
      <c r="L595" s="6" t="s">
        <v>21</v>
      </c>
      <c r="M595" s="2">
        <f t="shared" si="9"/>
        <v>13661.87</v>
      </c>
    </row>
    <row r="596" spans="1:13" x14ac:dyDescent="0.25">
      <c r="A596" s="6" t="s">
        <v>7</v>
      </c>
      <c r="B596" s="6" t="s">
        <v>325</v>
      </c>
      <c r="C596" s="6" t="s">
        <v>326</v>
      </c>
      <c r="D596" s="6" t="s">
        <v>1560</v>
      </c>
      <c r="E596" s="6" t="s">
        <v>1561</v>
      </c>
      <c r="F596" s="9">
        <v>45695</v>
      </c>
      <c r="G596" s="9">
        <v>45709</v>
      </c>
      <c r="H596" s="10">
        <v>7</v>
      </c>
      <c r="I596" s="11">
        <v>377471.84</v>
      </c>
      <c r="J596" s="6" t="s">
        <v>22</v>
      </c>
      <c r="K596" s="6" t="s">
        <v>21</v>
      </c>
      <c r="L596" s="6" t="s">
        <v>21</v>
      </c>
      <c r="M596" s="2">
        <f t="shared" si="9"/>
        <v>377471.84</v>
      </c>
    </row>
    <row r="597" spans="1:13" x14ac:dyDescent="0.25">
      <c r="A597" s="6" t="s">
        <v>7</v>
      </c>
      <c r="B597" s="6" t="s">
        <v>325</v>
      </c>
      <c r="C597" s="6" t="s">
        <v>326</v>
      </c>
      <c r="D597" s="6" t="s">
        <v>1562</v>
      </c>
      <c r="E597" s="6" t="s">
        <v>1563</v>
      </c>
      <c r="F597" s="9">
        <v>45695</v>
      </c>
      <c r="G597" s="9">
        <v>45709</v>
      </c>
      <c r="H597" s="10">
        <v>7</v>
      </c>
      <c r="I597" s="11">
        <v>441694.92</v>
      </c>
      <c r="J597" s="6" t="s">
        <v>22</v>
      </c>
      <c r="K597" s="6" t="s">
        <v>21</v>
      </c>
      <c r="L597" s="6" t="s">
        <v>21</v>
      </c>
      <c r="M597" s="2">
        <f t="shared" si="9"/>
        <v>441694.92</v>
      </c>
    </row>
    <row r="598" spans="1:13" x14ac:dyDescent="0.25">
      <c r="A598" s="6" t="s">
        <v>7</v>
      </c>
      <c r="B598" s="6" t="s">
        <v>325</v>
      </c>
      <c r="C598" s="6" t="s">
        <v>326</v>
      </c>
      <c r="D598" s="6" t="s">
        <v>1564</v>
      </c>
      <c r="E598" s="6" t="s">
        <v>1565</v>
      </c>
      <c r="F598" s="9">
        <v>45715</v>
      </c>
      <c r="G598" s="9">
        <v>45715</v>
      </c>
      <c r="H598" s="10">
        <v>1</v>
      </c>
      <c r="I598" s="13">
        <v>-32674</v>
      </c>
      <c r="J598" s="6" t="s">
        <v>22</v>
      </c>
      <c r="K598" s="6" t="s">
        <v>21</v>
      </c>
      <c r="L598" s="6" t="s">
        <v>21</v>
      </c>
      <c r="M598" s="2">
        <f t="shared" si="9"/>
        <v>-32674</v>
      </c>
    </row>
    <row r="599" spans="1:13" x14ac:dyDescent="0.25">
      <c r="A599" s="6" t="s">
        <v>7</v>
      </c>
      <c r="B599" s="6" t="s">
        <v>329</v>
      </c>
      <c r="C599" s="6" t="s">
        <v>330</v>
      </c>
      <c r="D599" s="6" t="s">
        <v>331</v>
      </c>
      <c r="E599" s="6" t="s">
        <v>21</v>
      </c>
      <c r="F599" s="9">
        <v>45418</v>
      </c>
      <c r="G599" s="9">
        <v>45418</v>
      </c>
      <c r="H599" s="10">
        <v>298</v>
      </c>
      <c r="I599" s="13">
        <v>-8728.7000000000007</v>
      </c>
      <c r="J599" s="6" t="s">
        <v>22</v>
      </c>
      <c r="K599" s="6" t="s">
        <v>21</v>
      </c>
      <c r="L599" s="6" t="s">
        <v>21</v>
      </c>
      <c r="M599" s="2">
        <f t="shared" si="9"/>
        <v>-8728.7000000000007</v>
      </c>
    </row>
    <row r="600" spans="1:13" x14ac:dyDescent="0.25">
      <c r="A600" s="6" t="s">
        <v>7</v>
      </c>
      <c r="B600" s="6" t="s">
        <v>329</v>
      </c>
      <c r="C600" s="6" t="s">
        <v>330</v>
      </c>
      <c r="D600" s="6" t="s">
        <v>332</v>
      </c>
      <c r="E600" s="6" t="s">
        <v>21</v>
      </c>
      <c r="F600" s="9">
        <v>44896</v>
      </c>
      <c r="G600" s="9">
        <v>44895</v>
      </c>
      <c r="H600" s="10">
        <v>821</v>
      </c>
      <c r="I600" s="13">
        <v>-1963.5</v>
      </c>
      <c r="J600" s="6" t="s">
        <v>22</v>
      </c>
      <c r="K600" s="6" t="s">
        <v>333</v>
      </c>
      <c r="L600" s="6" t="s">
        <v>21</v>
      </c>
      <c r="M600" s="2">
        <f t="shared" si="9"/>
        <v>-1963.5</v>
      </c>
    </row>
    <row r="601" spans="1:13" x14ac:dyDescent="0.25">
      <c r="A601" s="6" t="s">
        <v>7</v>
      </c>
      <c r="B601" s="6" t="s">
        <v>329</v>
      </c>
      <c r="C601" s="6" t="s">
        <v>330</v>
      </c>
      <c r="D601" s="6" t="s">
        <v>1566</v>
      </c>
      <c r="E601" s="6" t="s">
        <v>1567</v>
      </c>
      <c r="F601" s="9">
        <v>45698</v>
      </c>
      <c r="G601" s="9">
        <v>45712</v>
      </c>
      <c r="H601" s="10">
        <v>4</v>
      </c>
      <c r="I601" s="11">
        <v>1999.2</v>
      </c>
      <c r="J601" s="6" t="s">
        <v>22</v>
      </c>
      <c r="K601" s="6" t="s">
        <v>1568</v>
      </c>
      <c r="L601" s="6" t="s">
        <v>21</v>
      </c>
      <c r="M601" s="2">
        <f t="shared" si="9"/>
        <v>1999.2</v>
      </c>
    </row>
    <row r="602" spans="1:13" x14ac:dyDescent="0.25">
      <c r="A602" s="6" t="s">
        <v>7</v>
      </c>
      <c r="B602" s="6" t="s">
        <v>329</v>
      </c>
      <c r="C602" s="6" t="s">
        <v>330</v>
      </c>
      <c r="D602" s="6" t="s">
        <v>1569</v>
      </c>
      <c r="E602" s="6" t="s">
        <v>1570</v>
      </c>
      <c r="F602" s="9">
        <v>45698</v>
      </c>
      <c r="G602" s="9">
        <v>45712</v>
      </c>
      <c r="H602" s="10">
        <v>4</v>
      </c>
      <c r="I602" s="11">
        <v>1999.2</v>
      </c>
      <c r="J602" s="6" t="s">
        <v>22</v>
      </c>
      <c r="K602" s="6" t="s">
        <v>1571</v>
      </c>
      <c r="L602" s="6" t="s">
        <v>21</v>
      </c>
      <c r="M602" s="2">
        <f t="shared" si="9"/>
        <v>1999.2</v>
      </c>
    </row>
    <row r="603" spans="1:13" x14ac:dyDescent="0.25">
      <c r="A603" s="6" t="s">
        <v>7</v>
      </c>
      <c r="B603" s="6" t="s">
        <v>329</v>
      </c>
      <c r="C603" s="6" t="s">
        <v>330</v>
      </c>
      <c r="D603" s="6" t="s">
        <v>1572</v>
      </c>
      <c r="E603" s="6" t="s">
        <v>1573</v>
      </c>
      <c r="F603" s="9">
        <v>45702</v>
      </c>
      <c r="G603" s="9">
        <v>45716</v>
      </c>
      <c r="H603" s="10">
        <v>0</v>
      </c>
      <c r="I603" s="11">
        <v>7938.7</v>
      </c>
      <c r="J603" s="6" t="s">
        <v>22</v>
      </c>
      <c r="K603" s="6" t="s">
        <v>21</v>
      </c>
      <c r="L603" s="6" t="s">
        <v>21</v>
      </c>
      <c r="M603" s="2" t="str">
        <f t="shared" si="9"/>
        <v/>
      </c>
    </row>
    <row r="604" spans="1:13" x14ac:dyDescent="0.25">
      <c r="A604" s="6" t="s">
        <v>7</v>
      </c>
      <c r="B604" s="6" t="s">
        <v>329</v>
      </c>
      <c r="C604" s="6" t="s">
        <v>330</v>
      </c>
      <c r="D604" s="6" t="s">
        <v>1574</v>
      </c>
      <c r="E604" s="6" t="s">
        <v>1575</v>
      </c>
      <c r="F604" s="9">
        <v>45702</v>
      </c>
      <c r="G604" s="9">
        <v>45716</v>
      </c>
      <c r="H604" s="10">
        <v>0</v>
      </c>
      <c r="I604" s="11">
        <v>1547.3</v>
      </c>
      <c r="J604" s="6" t="s">
        <v>22</v>
      </c>
      <c r="K604" s="6" t="s">
        <v>21</v>
      </c>
      <c r="L604" s="6" t="s">
        <v>21</v>
      </c>
      <c r="M604" s="2" t="str">
        <f t="shared" si="9"/>
        <v/>
      </c>
    </row>
    <row r="605" spans="1:13" x14ac:dyDescent="0.25">
      <c r="A605" s="6" t="s">
        <v>7</v>
      </c>
      <c r="B605" s="6" t="s">
        <v>329</v>
      </c>
      <c r="C605" s="6" t="s">
        <v>330</v>
      </c>
      <c r="D605" s="6" t="s">
        <v>1576</v>
      </c>
      <c r="E605" s="6" t="s">
        <v>1577</v>
      </c>
      <c r="F605" s="9">
        <v>45702</v>
      </c>
      <c r="G605" s="9">
        <v>45716</v>
      </c>
      <c r="H605" s="10">
        <v>0</v>
      </c>
      <c r="I605" s="11">
        <v>246.22</v>
      </c>
      <c r="J605" s="6" t="s">
        <v>22</v>
      </c>
      <c r="K605" s="6" t="s">
        <v>21</v>
      </c>
      <c r="L605" s="6" t="s">
        <v>21</v>
      </c>
      <c r="M605" s="2" t="str">
        <f t="shared" si="9"/>
        <v/>
      </c>
    </row>
    <row r="606" spans="1:13" x14ac:dyDescent="0.25">
      <c r="A606" s="6" t="s">
        <v>7</v>
      </c>
      <c r="B606" s="6" t="s">
        <v>329</v>
      </c>
      <c r="C606" s="6" t="s">
        <v>330</v>
      </c>
      <c r="D606" s="6" t="s">
        <v>1578</v>
      </c>
      <c r="E606" s="6" t="s">
        <v>1579</v>
      </c>
      <c r="F606" s="9">
        <v>45702</v>
      </c>
      <c r="G606" s="9">
        <v>45716</v>
      </c>
      <c r="H606" s="10">
        <v>0</v>
      </c>
      <c r="I606" s="11">
        <v>150398.96</v>
      </c>
      <c r="J606" s="6" t="s">
        <v>22</v>
      </c>
      <c r="K606" s="6" t="s">
        <v>21</v>
      </c>
      <c r="L606" s="6" t="s">
        <v>21</v>
      </c>
      <c r="M606" s="2" t="str">
        <f t="shared" si="9"/>
        <v/>
      </c>
    </row>
    <row r="607" spans="1:13" x14ac:dyDescent="0.25">
      <c r="A607" s="6" t="s">
        <v>7</v>
      </c>
      <c r="B607" s="6" t="s">
        <v>329</v>
      </c>
      <c r="C607" s="6" t="s">
        <v>330</v>
      </c>
      <c r="D607" s="6" t="s">
        <v>1580</v>
      </c>
      <c r="E607" s="6" t="s">
        <v>1581</v>
      </c>
      <c r="F607" s="9">
        <v>45702</v>
      </c>
      <c r="G607" s="9">
        <v>45716</v>
      </c>
      <c r="H607" s="10">
        <v>0</v>
      </c>
      <c r="I607" s="11">
        <v>3556.47</v>
      </c>
      <c r="J607" s="6" t="s">
        <v>22</v>
      </c>
      <c r="K607" s="6" t="s">
        <v>21</v>
      </c>
      <c r="L607" s="6" t="s">
        <v>21</v>
      </c>
      <c r="M607" s="2" t="str">
        <f t="shared" si="9"/>
        <v/>
      </c>
    </row>
    <row r="608" spans="1:13" x14ac:dyDescent="0.25">
      <c r="A608" s="6" t="s">
        <v>7</v>
      </c>
      <c r="B608" s="6" t="s">
        <v>329</v>
      </c>
      <c r="C608" s="6" t="s">
        <v>330</v>
      </c>
      <c r="D608" s="6" t="s">
        <v>1582</v>
      </c>
      <c r="E608" s="6" t="s">
        <v>1583</v>
      </c>
      <c r="F608" s="9">
        <v>45702</v>
      </c>
      <c r="G608" s="9">
        <v>45732</v>
      </c>
      <c r="H608" s="12">
        <v>-16</v>
      </c>
      <c r="I608" s="11">
        <v>24257.59</v>
      </c>
      <c r="J608" s="6" t="s">
        <v>22</v>
      </c>
      <c r="K608" s="6" t="s">
        <v>21</v>
      </c>
      <c r="L608" s="6" t="s">
        <v>21</v>
      </c>
      <c r="M608" s="2" t="str">
        <f t="shared" si="9"/>
        <v/>
      </c>
    </row>
    <row r="609" spans="1:13" x14ac:dyDescent="0.25">
      <c r="A609" s="6" t="s">
        <v>7</v>
      </c>
      <c r="B609" s="6" t="s">
        <v>329</v>
      </c>
      <c r="C609" s="6" t="s">
        <v>330</v>
      </c>
      <c r="D609" s="6" t="s">
        <v>1584</v>
      </c>
      <c r="E609" s="6" t="s">
        <v>1585</v>
      </c>
      <c r="F609" s="9">
        <v>45702</v>
      </c>
      <c r="G609" s="9">
        <v>45732</v>
      </c>
      <c r="H609" s="12">
        <v>-16</v>
      </c>
      <c r="I609" s="11">
        <v>195301.42</v>
      </c>
      <c r="J609" s="6" t="s">
        <v>22</v>
      </c>
      <c r="K609" s="6" t="s">
        <v>21</v>
      </c>
      <c r="L609" s="6" t="s">
        <v>21</v>
      </c>
      <c r="M609" s="2" t="str">
        <f t="shared" si="9"/>
        <v/>
      </c>
    </row>
    <row r="610" spans="1:13" x14ac:dyDescent="0.25">
      <c r="A610" s="6" t="s">
        <v>7</v>
      </c>
      <c r="B610" s="6" t="s">
        <v>329</v>
      </c>
      <c r="C610" s="6" t="s">
        <v>330</v>
      </c>
      <c r="D610" s="6" t="s">
        <v>1586</v>
      </c>
      <c r="E610" s="6" t="s">
        <v>1587</v>
      </c>
      <c r="F610" s="9">
        <v>45702</v>
      </c>
      <c r="G610" s="9">
        <v>45716</v>
      </c>
      <c r="H610" s="10">
        <v>0</v>
      </c>
      <c r="I610" s="11">
        <v>212915.12</v>
      </c>
      <c r="J610" s="6" t="s">
        <v>22</v>
      </c>
      <c r="K610" s="6" t="s">
        <v>21</v>
      </c>
      <c r="L610" s="6" t="s">
        <v>21</v>
      </c>
      <c r="M610" s="2" t="str">
        <f t="shared" si="9"/>
        <v/>
      </c>
    </row>
    <row r="611" spans="1:13" x14ac:dyDescent="0.25">
      <c r="A611" s="6" t="s">
        <v>7</v>
      </c>
      <c r="B611" s="6" t="s">
        <v>639</v>
      </c>
      <c r="C611" s="6" t="s">
        <v>640</v>
      </c>
      <c r="D611" s="6" t="s">
        <v>1588</v>
      </c>
      <c r="E611" s="6" t="s">
        <v>1589</v>
      </c>
      <c r="F611" s="9">
        <v>45688</v>
      </c>
      <c r="G611" s="9">
        <v>45722</v>
      </c>
      <c r="H611" s="12">
        <v>-6</v>
      </c>
      <c r="I611" s="11">
        <v>1344.7</v>
      </c>
      <c r="J611" s="6" t="s">
        <v>22</v>
      </c>
      <c r="K611" s="6" t="s">
        <v>25</v>
      </c>
      <c r="L611" s="6" t="s">
        <v>21</v>
      </c>
      <c r="M611" s="2" t="str">
        <f t="shared" si="9"/>
        <v/>
      </c>
    </row>
    <row r="612" spans="1:13" x14ac:dyDescent="0.25">
      <c r="A612" s="6" t="s">
        <v>7</v>
      </c>
      <c r="B612" s="6" t="s">
        <v>639</v>
      </c>
      <c r="C612" s="6" t="s">
        <v>640</v>
      </c>
      <c r="D612" s="6" t="s">
        <v>1590</v>
      </c>
      <c r="E612" s="6" t="s">
        <v>1591</v>
      </c>
      <c r="F612" s="9">
        <v>45709</v>
      </c>
      <c r="G612" s="9">
        <v>45723</v>
      </c>
      <c r="H612" s="12">
        <v>-7</v>
      </c>
      <c r="I612" s="11">
        <v>154.69999999999999</v>
      </c>
      <c r="J612" s="6" t="s">
        <v>22</v>
      </c>
      <c r="K612" s="6" t="s">
        <v>21</v>
      </c>
      <c r="L612" s="6" t="s">
        <v>21</v>
      </c>
      <c r="M612" s="2" t="str">
        <f t="shared" si="9"/>
        <v/>
      </c>
    </row>
    <row r="613" spans="1:13" x14ac:dyDescent="0.25">
      <c r="A613" s="6" t="s">
        <v>7</v>
      </c>
      <c r="B613" s="6" t="s">
        <v>334</v>
      </c>
      <c r="C613" s="6" t="s">
        <v>306</v>
      </c>
      <c r="D613" s="6" t="s">
        <v>1592</v>
      </c>
      <c r="E613" s="6" t="s">
        <v>21</v>
      </c>
      <c r="F613" s="9">
        <v>45692</v>
      </c>
      <c r="G613" s="9">
        <v>45692</v>
      </c>
      <c r="H613" s="10">
        <v>24</v>
      </c>
      <c r="I613" s="13">
        <v>-4998</v>
      </c>
      <c r="J613" s="6" t="s">
        <v>22</v>
      </c>
      <c r="K613" s="6" t="s">
        <v>21</v>
      </c>
      <c r="L613" s="6" t="s">
        <v>21</v>
      </c>
      <c r="M613" s="2">
        <f t="shared" si="9"/>
        <v>-4998</v>
      </c>
    </row>
    <row r="614" spans="1:13" x14ac:dyDescent="0.25">
      <c r="A614" s="6" t="s">
        <v>7</v>
      </c>
      <c r="B614" s="6" t="s">
        <v>334</v>
      </c>
      <c r="C614" s="6" t="s">
        <v>306</v>
      </c>
      <c r="D614" s="6" t="s">
        <v>335</v>
      </c>
      <c r="E614" s="6" t="s">
        <v>21</v>
      </c>
      <c r="F614" s="9">
        <v>45590</v>
      </c>
      <c r="G614" s="9">
        <v>45590</v>
      </c>
      <c r="H614" s="10">
        <v>126</v>
      </c>
      <c r="I614" s="13">
        <v>-4072.92</v>
      </c>
      <c r="J614" s="6" t="s">
        <v>22</v>
      </c>
      <c r="K614" s="6" t="s">
        <v>21</v>
      </c>
      <c r="L614" s="6" t="s">
        <v>21</v>
      </c>
      <c r="M614" s="2">
        <f t="shared" si="9"/>
        <v>-4072.92</v>
      </c>
    </row>
    <row r="615" spans="1:13" x14ac:dyDescent="0.25">
      <c r="A615" s="6" t="s">
        <v>7</v>
      </c>
      <c r="B615" s="6" t="s">
        <v>334</v>
      </c>
      <c r="C615" s="6" t="s">
        <v>306</v>
      </c>
      <c r="D615" s="6" t="s">
        <v>336</v>
      </c>
      <c r="E615" s="6" t="s">
        <v>21</v>
      </c>
      <c r="F615" s="9">
        <v>45609</v>
      </c>
      <c r="G615" s="9">
        <v>45609</v>
      </c>
      <c r="H615" s="10">
        <v>107</v>
      </c>
      <c r="I615" s="13">
        <v>-81.75</v>
      </c>
      <c r="J615" s="6" t="s">
        <v>22</v>
      </c>
      <c r="K615" s="6" t="s">
        <v>337</v>
      </c>
      <c r="L615" s="6" t="s">
        <v>21</v>
      </c>
      <c r="M615" s="2">
        <f t="shared" si="9"/>
        <v>-81.75</v>
      </c>
    </row>
    <row r="616" spans="1:13" x14ac:dyDescent="0.25">
      <c r="A616" s="6" t="s">
        <v>7</v>
      </c>
      <c r="B616" s="6" t="s">
        <v>334</v>
      </c>
      <c r="C616" s="6" t="s">
        <v>306</v>
      </c>
      <c r="D616" s="6" t="s">
        <v>338</v>
      </c>
      <c r="E616" s="6" t="s">
        <v>339</v>
      </c>
      <c r="F616" s="9">
        <v>45680</v>
      </c>
      <c r="G616" s="9">
        <v>45694</v>
      </c>
      <c r="H616" s="10">
        <v>22</v>
      </c>
      <c r="I616" s="11">
        <v>3132.4</v>
      </c>
      <c r="J616" s="6" t="s">
        <v>22</v>
      </c>
      <c r="K616" s="6" t="s">
        <v>21</v>
      </c>
      <c r="L616" s="6" t="s">
        <v>21</v>
      </c>
      <c r="M616" s="2">
        <f t="shared" si="9"/>
        <v>3132.4</v>
      </c>
    </row>
    <row r="617" spans="1:13" x14ac:dyDescent="0.25">
      <c r="A617" s="6" t="s">
        <v>7</v>
      </c>
      <c r="B617" s="6" t="s">
        <v>334</v>
      </c>
      <c r="C617" s="6" t="s">
        <v>306</v>
      </c>
      <c r="D617" s="6" t="s">
        <v>340</v>
      </c>
      <c r="E617" s="6" t="s">
        <v>341</v>
      </c>
      <c r="F617" s="9">
        <v>45680</v>
      </c>
      <c r="G617" s="9">
        <v>45710</v>
      </c>
      <c r="H617" s="10">
        <v>6</v>
      </c>
      <c r="I617" s="11">
        <v>2093.81</v>
      </c>
      <c r="J617" s="6" t="s">
        <v>22</v>
      </c>
      <c r="K617" s="6" t="s">
        <v>21</v>
      </c>
      <c r="L617" s="6" t="s">
        <v>21</v>
      </c>
      <c r="M617" s="2">
        <f t="shared" si="9"/>
        <v>2093.81</v>
      </c>
    </row>
    <row r="618" spans="1:13" x14ac:dyDescent="0.25">
      <c r="A618" s="6" t="s">
        <v>7</v>
      </c>
      <c r="B618" s="6" t="s">
        <v>334</v>
      </c>
      <c r="C618" s="6" t="s">
        <v>306</v>
      </c>
      <c r="D618" s="6" t="s">
        <v>342</v>
      </c>
      <c r="E618" s="6" t="s">
        <v>343</v>
      </c>
      <c r="F618" s="9">
        <v>45680</v>
      </c>
      <c r="G618" s="9">
        <v>45694</v>
      </c>
      <c r="H618" s="10">
        <v>22</v>
      </c>
      <c r="I618" s="11">
        <v>8297.49</v>
      </c>
      <c r="J618" s="6" t="s">
        <v>22</v>
      </c>
      <c r="K618" s="6" t="s">
        <v>21</v>
      </c>
      <c r="L618" s="6" t="s">
        <v>21</v>
      </c>
      <c r="M618" s="2">
        <f t="shared" si="9"/>
        <v>8297.49</v>
      </c>
    </row>
    <row r="619" spans="1:13" x14ac:dyDescent="0.25">
      <c r="A619" s="6" t="s">
        <v>7</v>
      </c>
      <c r="B619" s="6" t="s">
        <v>334</v>
      </c>
      <c r="C619" s="6" t="s">
        <v>306</v>
      </c>
      <c r="D619" s="6" t="s">
        <v>344</v>
      </c>
      <c r="E619" s="6" t="s">
        <v>345</v>
      </c>
      <c r="F619" s="9">
        <v>45680</v>
      </c>
      <c r="G619" s="9">
        <v>45694</v>
      </c>
      <c r="H619" s="10">
        <v>22</v>
      </c>
      <c r="I619" s="11">
        <v>27809.82</v>
      </c>
      <c r="J619" s="6" t="s">
        <v>22</v>
      </c>
      <c r="K619" s="6" t="s">
        <v>21</v>
      </c>
      <c r="L619" s="6" t="s">
        <v>21</v>
      </c>
      <c r="M619" s="2">
        <f t="shared" si="9"/>
        <v>27809.82</v>
      </c>
    </row>
    <row r="620" spans="1:13" x14ac:dyDescent="0.25">
      <c r="A620" s="6" t="s">
        <v>7</v>
      </c>
      <c r="B620" s="6" t="s">
        <v>334</v>
      </c>
      <c r="C620" s="6" t="s">
        <v>306</v>
      </c>
      <c r="D620" s="6" t="s">
        <v>346</v>
      </c>
      <c r="E620" s="6" t="s">
        <v>347</v>
      </c>
      <c r="F620" s="9">
        <v>45680</v>
      </c>
      <c r="G620" s="9">
        <v>45710</v>
      </c>
      <c r="H620" s="10">
        <v>6</v>
      </c>
      <c r="I620" s="11">
        <v>1851.14</v>
      </c>
      <c r="J620" s="6" t="s">
        <v>22</v>
      </c>
      <c r="K620" s="6" t="s">
        <v>21</v>
      </c>
      <c r="L620" s="6" t="s">
        <v>21</v>
      </c>
      <c r="M620" s="2">
        <f t="shared" si="9"/>
        <v>1851.14</v>
      </c>
    </row>
    <row r="621" spans="1:13" x14ac:dyDescent="0.25">
      <c r="A621" s="6" t="s">
        <v>7</v>
      </c>
      <c r="B621" s="6" t="s">
        <v>334</v>
      </c>
      <c r="C621" s="6" t="s">
        <v>306</v>
      </c>
      <c r="D621" s="6" t="s">
        <v>348</v>
      </c>
      <c r="E621" s="6" t="s">
        <v>349</v>
      </c>
      <c r="F621" s="9">
        <v>45680</v>
      </c>
      <c r="G621" s="9">
        <v>45710</v>
      </c>
      <c r="H621" s="10">
        <v>6</v>
      </c>
      <c r="I621" s="11">
        <v>3429.93</v>
      </c>
      <c r="J621" s="6" t="s">
        <v>22</v>
      </c>
      <c r="K621" s="6" t="s">
        <v>21</v>
      </c>
      <c r="L621" s="6" t="s">
        <v>21</v>
      </c>
      <c r="M621" s="2">
        <f t="shared" si="9"/>
        <v>3429.93</v>
      </c>
    </row>
    <row r="622" spans="1:13" x14ac:dyDescent="0.25">
      <c r="A622" s="6" t="s">
        <v>7</v>
      </c>
      <c r="B622" s="6" t="s">
        <v>334</v>
      </c>
      <c r="C622" s="6" t="s">
        <v>306</v>
      </c>
      <c r="D622" s="6" t="s">
        <v>350</v>
      </c>
      <c r="E622" s="6" t="s">
        <v>351</v>
      </c>
      <c r="F622" s="9">
        <v>45680</v>
      </c>
      <c r="G622" s="9">
        <v>45710</v>
      </c>
      <c r="H622" s="10">
        <v>6</v>
      </c>
      <c r="I622" s="11">
        <v>2690.07</v>
      </c>
      <c r="J622" s="6" t="s">
        <v>22</v>
      </c>
      <c r="K622" s="6" t="s">
        <v>21</v>
      </c>
      <c r="L622" s="6" t="s">
        <v>21</v>
      </c>
      <c r="M622" s="2">
        <f t="shared" si="9"/>
        <v>2690.07</v>
      </c>
    </row>
    <row r="623" spans="1:13" x14ac:dyDescent="0.25">
      <c r="A623" s="6" t="s">
        <v>7</v>
      </c>
      <c r="B623" s="6" t="s">
        <v>334</v>
      </c>
      <c r="C623" s="6" t="s">
        <v>306</v>
      </c>
      <c r="D623" s="6" t="s">
        <v>352</v>
      </c>
      <c r="E623" s="6" t="s">
        <v>353</v>
      </c>
      <c r="F623" s="9">
        <v>45680</v>
      </c>
      <c r="G623" s="9">
        <v>45710</v>
      </c>
      <c r="H623" s="10">
        <v>6</v>
      </c>
      <c r="I623" s="11">
        <v>600.76</v>
      </c>
      <c r="J623" s="6" t="s">
        <v>22</v>
      </c>
      <c r="K623" s="6" t="s">
        <v>21</v>
      </c>
      <c r="L623" s="6" t="s">
        <v>21</v>
      </c>
      <c r="M623" s="2">
        <f t="shared" si="9"/>
        <v>600.76</v>
      </c>
    </row>
    <row r="624" spans="1:13" x14ac:dyDescent="0.25">
      <c r="A624" s="6" t="s">
        <v>7</v>
      </c>
      <c r="B624" s="6" t="s">
        <v>334</v>
      </c>
      <c r="C624" s="6" t="s">
        <v>306</v>
      </c>
      <c r="D624" s="6" t="s">
        <v>354</v>
      </c>
      <c r="E624" s="6" t="s">
        <v>355</v>
      </c>
      <c r="F624" s="9">
        <v>45680</v>
      </c>
      <c r="G624" s="9">
        <v>45710</v>
      </c>
      <c r="H624" s="10">
        <v>6</v>
      </c>
      <c r="I624" s="11">
        <v>2207.34</v>
      </c>
      <c r="J624" s="6" t="s">
        <v>22</v>
      </c>
      <c r="K624" s="6" t="s">
        <v>21</v>
      </c>
      <c r="L624" s="6" t="s">
        <v>21</v>
      </c>
      <c r="M624" s="2">
        <f t="shared" si="9"/>
        <v>2207.34</v>
      </c>
    </row>
    <row r="625" spans="1:13" x14ac:dyDescent="0.25">
      <c r="A625" s="6" t="s">
        <v>7</v>
      </c>
      <c r="B625" s="6" t="s">
        <v>334</v>
      </c>
      <c r="C625" s="6" t="s">
        <v>306</v>
      </c>
      <c r="D625" s="6" t="s">
        <v>356</v>
      </c>
      <c r="E625" s="6" t="s">
        <v>357</v>
      </c>
      <c r="F625" s="9">
        <v>45680</v>
      </c>
      <c r="G625" s="9">
        <v>45710</v>
      </c>
      <c r="H625" s="10">
        <v>6</v>
      </c>
      <c r="I625" s="11">
        <v>1158.56</v>
      </c>
      <c r="J625" s="6" t="s">
        <v>22</v>
      </c>
      <c r="K625" s="6" t="s">
        <v>21</v>
      </c>
      <c r="L625" s="6" t="s">
        <v>21</v>
      </c>
      <c r="M625" s="2">
        <f t="shared" si="9"/>
        <v>1158.56</v>
      </c>
    </row>
    <row r="626" spans="1:13" x14ac:dyDescent="0.25">
      <c r="A626" s="6" t="s">
        <v>7</v>
      </c>
      <c r="B626" s="6" t="s">
        <v>334</v>
      </c>
      <c r="C626" s="6" t="s">
        <v>306</v>
      </c>
      <c r="D626" s="6" t="s">
        <v>358</v>
      </c>
      <c r="E626" s="6" t="s">
        <v>359</v>
      </c>
      <c r="F626" s="9">
        <v>45680</v>
      </c>
      <c r="G626" s="9">
        <v>45710</v>
      </c>
      <c r="H626" s="10">
        <v>6</v>
      </c>
      <c r="I626" s="11">
        <v>1911.91</v>
      </c>
      <c r="J626" s="6" t="s">
        <v>22</v>
      </c>
      <c r="K626" s="6" t="s">
        <v>21</v>
      </c>
      <c r="L626" s="6" t="s">
        <v>21</v>
      </c>
      <c r="M626" s="2">
        <f t="shared" si="9"/>
        <v>1911.91</v>
      </c>
    </row>
    <row r="627" spans="1:13" x14ac:dyDescent="0.25">
      <c r="A627" s="6" t="s">
        <v>7</v>
      </c>
      <c r="B627" s="6" t="s">
        <v>334</v>
      </c>
      <c r="C627" s="6" t="s">
        <v>306</v>
      </c>
      <c r="D627" s="6" t="s">
        <v>360</v>
      </c>
      <c r="E627" s="6" t="s">
        <v>361</v>
      </c>
      <c r="F627" s="9">
        <v>45680</v>
      </c>
      <c r="G627" s="9">
        <v>45710</v>
      </c>
      <c r="H627" s="10">
        <v>6</v>
      </c>
      <c r="I627" s="11">
        <v>312.57</v>
      </c>
      <c r="J627" s="6" t="s">
        <v>22</v>
      </c>
      <c r="K627" s="6" t="s">
        <v>21</v>
      </c>
      <c r="L627" s="6" t="s">
        <v>21</v>
      </c>
      <c r="M627" s="2">
        <f t="shared" si="9"/>
        <v>312.57</v>
      </c>
    </row>
    <row r="628" spans="1:13" x14ac:dyDescent="0.25">
      <c r="A628" s="6" t="s">
        <v>7</v>
      </c>
      <c r="B628" s="6" t="s">
        <v>334</v>
      </c>
      <c r="C628" s="6" t="s">
        <v>306</v>
      </c>
      <c r="D628" s="6" t="s">
        <v>362</v>
      </c>
      <c r="E628" s="6" t="s">
        <v>363</v>
      </c>
      <c r="F628" s="9">
        <v>45680</v>
      </c>
      <c r="G628" s="9">
        <v>45710</v>
      </c>
      <c r="H628" s="10">
        <v>6</v>
      </c>
      <c r="I628" s="11">
        <v>977.06</v>
      </c>
      <c r="J628" s="6" t="s">
        <v>22</v>
      </c>
      <c r="K628" s="6" t="s">
        <v>21</v>
      </c>
      <c r="L628" s="6" t="s">
        <v>21</v>
      </c>
      <c r="M628" s="2">
        <f t="shared" si="9"/>
        <v>977.06</v>
      </c>
    </row>
    <row r="629" spans="1:13" x14ac:dyDescent="0.25">
      <c r="A629" s="6" t="s">
        <v>7</v>
      </c>
      <c r="B629" s="6" t="s">
        <v>334</v>
      </c>
      <c r="C629" s="6" t="s">
        <v>306</v>
      </c>
      <c r="D629" s="6" t="s">
        <v>364</v>
      </c>
      <c r="E629" s="6" t="s">
        <v>365</v>
      </c>
      <c r="F629" s="9">
        <v>45680</v>
      </c>
      <c r="G629" s="9">
        <v>45710</v>
      </c>
      <c r="H629" s="10">
        <v>6</v>
      </c>
      <c r="I629" s="11">
        <v>84.62</v>
      </c>
      <c r="J629" s="6" t="s">
        <v>22</v>
      </c>
      <c r="K629" s="6" t="s">
        <v>21</v>
      </c>
      <c r="L629" s="6" t="s">
        <v>21</v>
      </c>
      <c r="M629" s="2">
        <f t="shared" si="9"/>
        <v>84.62</v>
      </c>
    </row>
    <row r="630" spans="1:13" x14ac:dyDescent="0.25">
      <c r="A630" s="6" t="s">
        <v>7</v>
      </c>
      <c r="B630" s="6" t="s">
        <v>334</v>
      </c>
      <c r="C630" s="6" t="s">
        <v>306</v>
      </c>
      <c r="D630" s="6" t="s">
        <v>366</v>
      </c>
      <c r="E630" s="6" t="s">
        <v>367</v>
      </c>
      <c r="F630" s="9">
        <v>45680</v>
      </c>
      <c r="G630" s="9">
        <v>45710</v>
      </c>
      <c r="H630" s="10">
        <v>6</v>
      </c>
      <c r="I630" s="11">
        <v>439.57</v>
      </c>
      <c r="J630" s="6" t="s">
        <v>22</v>
      </c>
      <c r="K630" s="6" t="s">
        <v>21</v>
      </c>
      <c r="L630" s="6" t="s">
        <v>21</v>
      </c>
      <c r="M630" s="2">
        <f t="shared" si="9"/>
        <v>439.57</v>
      </c>
    </row>
    <row r="631" spans="1:13" x14ac:dyDescent="0.25">
      <c r="A631" s="6" t="s">
        <v>7</v>
      </c>
      <c r="B631" s="6" t="s">
        <v>334</v>
      </c>
      <c r="C631" s="6" t="s">
        <v>306</v>
      </c>
      <c r="D631" s="6" t="s">
        <v>368</v>
      </c>
      <c r="E631" s="6" t="s">
        <v>369</v>
      </c>
      <c r="F631" s="9">
        <v>45680</v>
      </c>
      <c r="G631" s="9">
        <v>45710</v>
      </c>
      <c r="H631" s="10">
        <v>6</v>
      </c>
      <c r="I631" s="11">
        <v>358.75</v>
      </c>
      <c r="J631" s="6" t="s">
        <v>22</v>
      </c>
      <c r="K631" s="6" t="s">
        <v>21</v>
      </c>
      <c r="L631" s="6" t="s">
        <v>21</v>
      </c>
      <c r="M631" s="2">
        <f t="shared" si="9"/>
        <v>358.75</v>
      </c>
    </row>
    <row r="632" spans="1:13" x14ac:dyDescent="0.25">
      <c r="A632" s="6" t="s">
        <v>7</v>
      </c>
      <c r="B632" s="6" t="s">
        <v>334</v>
      </c>
      <c r="C632" s="6" t="s">
        <v>306</v>
      </c>
      <c r="D632" s="6" t="s">
        <v>370</v>
      </c>
      <c r="E632" s="6" t="s">
        <v>371</v>
      </c>
      <c r="F632" s="9">
        <v>45680</v>
      </c>
      <c r="G632" s="9">
        <v>45710</v>
      </c>
      <c r="H632" s="10">
        <v>6</v>
      </c>
      <c r="I632" s="11">
        <v>1289.4100000000001</v>
      </c>
      <c r="J632" s="6" t="s">
        <v>22</v>
      </c>
      <c r="K632" s="6" t="s">
        <v>21</v>
      </c>
      <c r="L632" s="6" t="s">
        <v>21</v>
      </c>
      <c r="M632" s="2">
        <f t="shared" si="9"/>
        <v>1289.4100000000001</v>
      </c>
    </row>
    <row r="633" spans="1:13" x14ac:dyDescent="0.25">
      <c r="A633" s="6" t="s">
        <v>7</v>
      </c>
      <c r="B633" s="6" t="s">
        <v>334</v>
      </c>
      <c r="C633" s="6" t="s">
        <v>306</v>
      </c>
      <c r="D633" s="6" t="s">
        <v>372</v>
      </c>
      <c r="E633" s="6" t="s">
        <v>373</v>
      </c>
      <c r="F633" s="9">
        <v>45680</v>
      </c>
      <c r="G633" s="9">
        <v>45710</v>
      </c>
      <c r="H633" s="10">
        <v>6</v>
      </c>
      <c r="I633" s="11">
        <v>1618.47</v>
      </c>
      <c r="J633" s="6" t="s">
        <v>22</v>
      </c>
      <c r="K633" s="6" t="s">
        <v>21</v>
      </c>
      <c r="L633" s="6" t="s">
        <v>21</v>
      </c>
      <c r="M633" s="2">
        <f t="shared" si="9"/>
        <v>1618.47</v>
      </c>
    </row>
    <row r="634" spans="1:13" x14ac:dyDescent="0.25">
      <c r="A634" s="6" t="s">
        <v>7</v>
      </c>
      <c r="B634" s="6" t="s">
        <v>334</v>
      </c>
      <c r="C634" s="6" t="s">
        <v>306</v>
      </c>
      <c r="D634" s="6" t="s">
        <v>374</v>
      </c>
      <c r="E634" s="6" t="s">
        <v>375</v>
      </c>
      <c r="F634" s="9">
        <v>45680</v>
      </c>
      <c r="G634" s="9">
        <v>45710</v>
      </c>
      <c r="H634" s="10">
        <v>6</v>
      </c>
      <c r="I634" s="11">
        <v>164719.41</v>
      </c>
      <c r="J634" s="6" t="s">
        <v>22</v>
      </c>
      <c r="K634" s="6" t="s">
        <v>21</v>
      </c>
      <c r="L634" s="6" t="s">
        <v>21</v>
      </c>
      <c r="M634" s="2">
        <f t="shared" si="9"/>
        <v>164719.41</v>
      </c>
    </row>
    <row r="635" spans="1:13" x14ac:dyDescent="0.25">
      <c r="A635" s="6" t="s">
        <v>7</v>
      </c>
      <c r="B635" s="6" t="s">
        <v>334</v>
      </c>
      <c r="C635" s="6" t="s">
        <v>306</v>
      </c>
      <c r="D635" s="6" t="s">
        <v>376</v>
      </c>
      <c r="E635" s="6" t="s">
        <v>377</v>
      </c>
      <c r="F635" s="9">
        <v>45680</v>
      </c>
      <c r="G635" s="9">
        <v>45710</v>
      </c>
      <c r="H635" s="10">
        <v>6</v>
      </c>
      <c r="I635" s="11">
        <v>1060.1099999999999</v>
      </c>
      <c r="J635" s="6" t="s">
        <v>22</v>
      </c>
      <c r="K635" s="6" t="s">
        <v>21</v>
      </c>
      <c r="L635" s="6" t="s">
        <v>21</v>
      </c>
      <c r="M635" s="2">
        <f t="shared" si="9"/>
        <v>1060.1099999999999</v>
      </c>
    </row>
    <row r="636" spans="1:13" x14ac:dyDescent="0.25">
      <c r="A636" s="6" t="s">
        <v>7</v>
      </c>
      <c r="B636" s="6" t="s">
        <v>334</v>
      </c>
      <c r="C636" s="6" t="s">
        <v>306</v>
      </c>
      <c r="D636" s="6" t="s">
        <v>378</v>
      </c>
      <c r="E636" s="6" t="s">
        <v>379</v>
      </c>
      <c r="F636" s="9">
        <v>45680</v>
      </c>
      <c r="G636" s="9">
        <v>45740</v>
      </c>
      <c r="H636" s="12">
        <v>-24</v>
      </c>
      <c r="I636" s="11">
        <v>370.88</v>
      </c>
      <c r="J636" s="6" t="s">
        <v>22</v>
      </c>
      <c r="K636" s="6" t="s">
        <v>21</v>
      </c>
      <c r="L636" s="6" t="s">
        <v>21</v>
      </c>
      <c r="M636" s="2" t="str">
        <f t="shared" si="9"/>
        <v/>
      </c>
    </row>
    <row r="637" spans="1:13" x14ac:dyDescent="0.25">
      <c r="A637" s="6" t="s">
        <v>7</v>
      </c>
      <c r="B637" s="6" t="s">
        <v>334</v>
      </c>
      <c r="C637" s="6" t="s">
        <v>306</v>
      </c>
      <c r="D637" s="6" t="s">
        <v>380</v>
      </c>
      <c r="E637" s="6" t="s">
        <v>381</v>
      </c>
      <c r="F637" s="9">
        <v>45680</v>
      </c>
      <c r="G637" s="9">
        <v>45710</v>
      </c>
      <c r="H637" s="10">
        <v>6</v>
      </c>
      <c r="I637" s="11">
        <v>619.19000000000005</v>
      </c>
      <c r="J637" s="6" t="s">
        <v>22</v>
      </c>
      <c r="K637" s="6" t="s">
        <v>21</v>
      </c>
      <c r="L637" s="6" t="s">
        <v>21</v>
      </c>
      <c r="M637" s="2">
        <f t="shared" si="9"/>
        <v>619.19000000000005</v>
      </c>
    </row>
    <row r="638" spans="1:13" x14ac:dyDescent="0.25">
      <c r="A638" s="6" t="s">
        <v>7</v>
      </c>
      <c r="B638" s="6" t="s">
        <v>334</v>
      </c>
      <c r="C638" s="6" t="s">
        <v>306</v>
      </c>
      <c r="D638" s="6" t="s">
        <v>382</v>
      </c>
      <c r="E638" s="6" t="s">
        <v>383</v>
      </c>
      <c r="F638" s="9">
        <v>45680</v>
      </c>
      <c r="G638" s="9">
        <v>45710</v>
      </c>
      <c r="H638" s="10">
        <v>6</v>
      </c>
      <c r="I638" s="11">
        <v>1582.49</v>
      </c>
      <c r="J638" s="6" t="s">
        <v>22</v>
      </c>
      <c r="K638" s="6" t="s">
        <v>21</v>
      </c>
      <c r="L638" s="6" t="s">
        <v>21</v>
      </c>
      <c r="M638" s="2">
        <f t="shared" si="9"/>
        <v>1582.49</v>
      </c>
    </row>
    <row r="639" spans="1:13" x14ac:dyDescent="0.25">
      <c r="A639" s="6" t="s">
        <v>7</v>
      </c>
      <c r="B639" s="6" t="s">
        <v>334</v>
      </c>
      <c r="C639" s="6" t="s">
        <v>306</v>
      </c>
      <c r="D639" s="6" t="s">
        <v>384</v>
      </c>
      <c r="E639" s="6" t="s">
        <v>385</v>
      </c>
      <c r="F639" s="9">
        <v>45680</v>
      </c>
      <c r="G639" s="9">
        <v>45710</v>
      </c>
      <c r="H639" s="10">
        <v>6</v>
      </c>
      <c r="I639" s="11">
        <v>327.19</v>
      </c>
      <c r="J639" s="6" t="s">
        <v>22</v>
      </c>
      <c r="K639" s="6" t="s">
        <v>21</v>
      </c>
      <c r="L639" s="6" t="s">
        <v>21</v>
      </c>
      <c r="M639" s="2">
        <f t="shared" si="9"/>
        <v>327.19</v>
      </c>
    </row>
    <row r="640" spans="1:13" x14ac:dyDescent="0.25">
      <c r="A640" s="6" t="s">
        <v>7</v>
      </c>
      <c r="B640" s="6" t="s">
        <v>334</v>
      </c>
      <c r="C640" s="6" t="s">
        <v>306</v>
      </c>
      <c r="D640" s="6" t="s">
        <v>386</v>
      </c>
      <c r="E640" s="6" t="s">
        <v>387</v>
      </c>
      <c r="F640" s="9">
        <v>45680</v>
      </c>
      <c r="G640" s="9">
        <v>45710</v>
      </c>
      <c r="H640" s="10">
        <v>6</v>
      </c>
      <c r="I640" s="11">
        <v>160.04</v>
      </c>
      <c r="J640" s="6" t="s">
        <v>22</v>
      </c>
      <c r="K640" s="6" t="s">
        <v>21</v>
      </c>
      <c r="L640" s="6" t="s">
        <v>21</v>
      </c>
      <c r="M640" s="2">
        <f t="shared" si="9"/>
        <v>160.04</v>
      </c>
    </row>
    <row r="641" spans="1:13" x14ac:dyDescent="0.25">
      <c r="A641" s="6" t="s">
        <v>7</v>
      </c>
      <c r="B641" s="6" t="s">
        <v>334</v>
      </c>
      <c r="C641" s="6" t="s">
        <v>306</v>
      </c>
      <c r="D641" s="6" t="s">
        <v>388</v>
      </c>
      <c r="E641" s="6" t="s">
        <v>389</v>
      </c>
      <c r="F641" s="9">
        <v>45680</v>
      </c>
      <c r="G641" s="9">
        <v>45694</v>
      </c>
      <c r="H641" s="10">
        <v>22</v>
      </c>
      <c r="I641" s="11">
        <v>843</v>
      </c>
      <c r="J641" s="6" t="s">
        <v>22</v>
      </c>
      <c r="K641" s="6" t="s">
        <v>21</v>
      </c>
      <c r="L641" s="6" t="s">
        <v>21</v>
      </c>
      <c r="M641" s="2">
        <f t="shared" si="9"/>
        <v>843</v>
      </c>
    </row>
    <row r="642" spans="1:13" x14ac:dyDescent="0.25">
      <c r="A642" s="6" t="s">
        <v>7</v>
      </c>
      <c r="B642" s="6" t="s">
        <v>334</v>
      </c>
      <c r="C642" s="6" t="s">
        <v>306</v>
      </c>
      <c r="D642" s="6" t="s">
        <v>390</v>
      </c>
      <c r="E642" s="6" t="s">
        <v>391</v>
      </c>
      <c r="F642" s="9">
        <v>45680</v>
      </c>
      <c r="G642" s="9">
        <v>45710</v>
      </c>
      <c r="H642" s="10">
        <v>6</v>
      </c>
      <c r="I642" s="11">
        <v>409.53</v>
      </c>
      <c r="J642" s="6" t="s">
        <v>22</v>
      </c>
      <c r="K642" s="6" t="s">
        <v>21</v>
      </c>
      <c r="L642" s="6" t="s">
        <v>21</v>
      </c>
      <c r="M642" s="2">
        <f t="shared" si="9"/>
        <v>409.53</v>
      </c>
    </row>
    <row r="643" spans="1:13" x14ac:dyDescent="0.25">
      <c r="A643" s="6" t="s">
        <v>7</v>
      </c>
      <c r="B643" s="6" t="s">
        <v>334</v>
      </c>
      <c r="C643" s="6" t="s">
        <v>306</v>
      </c>
      <c r="D643" s="6" t="s">
        <v>392</v>
      </c>
      <c r="E643" s="6" t="s">
        <v>393</v>
      </c>
      <c r="F643" s="9">
        <v>45680</v>
      </c>
      <c r="G643" s="9">
        <v>45710</v>
      </c>
      <c r="H643" s="10">
        <v>6</v>
      </c>
      <c r="I643" s="11">
        <v>409.53</v>
      </c>
      <c r="J643" s="6" t="s">
        <v>22</v>
      </c>
      <c r="K643" s="6" t="s">
        <v>21</v>
      </c>
      <c r="L643" s="6" t="s">
        <v>21</v>
      </c>
      <c r="M643" s="2">
        <f t="shared" ref="M643:M706" si="10">IF(H643&gt;0,I643,"")</f>
        <v>409.53</v>
      </c>
    </row>
    <row r="644" spans="1:13" x14ac:dyDescent="0.25">
      <c r="A644" s="6" t="s">
        <v>7</v>
      </c>
      <c r="B644" s="6" t="s">
        <v>334</v>
      </c>
      <c r="C644" s="6" t="s">
        <v>306</v>
      </c>
      <c r="D644" s="6" t="s">
        <v>394</v>
      </c>
      <c r="E644" s="6" t="s">
        <v>395</v>
      </c>
      <c r="F644" s="9">
        <v>45535</v>
      </c>
      <c r="G644" s="9">
        <v>45568</v>
      </c>
      <c r="H644" s="10">
        <v>148</v>
      </c>
      <c r="I644" s="11">
        <v>776.48</v>
      </c>
      <c r="J644" s="6" t="s">
        <v>22</v>
      </c>
      <c r="K644" s="6" t="s">
        <v>396</v>
      </c>
      <c r="L644" s="6" t="s">
        <v>21</v>
      </c>
      <c r="M644" s="2">
        <f t="shared" si="10"/>
        <v>776.48</v>
      </c>
    </row>
    <row r="645" spans="1:13" x14ac:dyDescent="0.25">
      <c r="A645" s="6" t="s">
        <v>7</v>
      </c>
      <c r="B645" s="6" t="s">
        <v>334</v>
      </c>
      <c r="C645" s="6" t="s">
        <v>306</v>
      </c>
      <c r="D645" s="6" t="s">
        <v>397</v>
      </c>
      <c r="E645" s="6" t="s">
        <v>398</v>
      </c>
      <c r="F645" s="9">
        <v>45645</v>
      </c>
      <c r="G645" s="9">
        <v>45675</v>
      </c>
      <c r="H645" s="10">
        <v>41</v>
      </c>
      <c r="I645" s="11">
        <v>68212.88</v>
      </c>
      <c r="J645" s="6" t="s">
        <v>22</v>
      </c>
      <c r="K645" s="6" t="s">
        <v>21</v>
      </c>
      <c r="L645" s="6" t="s">
        <v>21</v>
      </c>
      <c r="M645" s="2">
        <f t="shared" si="10"/>
        <v>68212.88</v>
      </c>
    </row>
    <row r="646" spans="1:13" x14ac:dyDescent="0.25">
      <c r="A646" s="6" t="s">
        <v>7</v>
      </c>
      <c r="B646" s="6" t="s">
        <v>334</v>
      </c>
      <c r="C646" s="6" t="s">
        <v>306</v>
      </c>
      <c r="D646" s="6" t="s">
        <v>1593</v>
      </c>
      <c r="E646" s="6" t="s">
        <v>1594</v>
      </c>
      <c r="F646" s="9">
        <v>45715</v>
      </c>
      <c r="G646" s="9">
        <v>45745</v>
      </c>
      <c r="H646" s="12">
        <v>-29</v>
      </c>
      <c r="I646" s="11">
        <v>1941.45</v>
      </c>
      <c r="J646" s="6" t="s">
        <v>22</v>
      </c>
      <c r="K646" s="6" t="s">
        <v>21</v>
      </c>
      <c r="L646" s="6" t="s">
        <v>21</v>
      </c>
      <c r="M646" s="2" t="str">
        <f t="shared" si="10"/>
        <v/>
      </c>
    </row>
    <row r="647" spans="1:13" x14ac:dyDescent="0.25">
      <c r="A647" s="6" t="s">
        <v>7</v>
      </c>
      <c r="B647" s="6" t="s">
        <v>334</v>
      </c>
      <c r="C647" s="6" t="s">
        <v>306</v>
      </c>
      <c r="D647" s="6" t="s">
        <v>399</v>
      </c>
      <c r="E647" s="6" t="s">
        <v>400</v>
      </c>
      <c r="F647" s="9">
        <v>45576</v>
      </c>
      <c r="G647" s="9">
        <v>45606</v>
      </c>
      <c r="H647" s="10">
        <v>110</v>
      </c>
      <c r="I647" s="11">
        <v>1654.1</v>
      </c>
      <c r="J647" s="6" t="s">
        <v>22</v>
      </c>
      <c r="K647" s="6" t="s">
        <v>401</v>
      </c>
      <c r="L647" s="6" t="s">
        <v>21</v>
      </c>
      <c r="M647" s="2">
        <f t="shared" si="10"/>
        <v>1654.1</v>
      </c>
    </row>
    <row r="648" spans="1:13" x14ac:dyDescent="0.25">
      <c r="A648" s="6" t="s">
        <v>7</v>
      </c>
      <c r="B648" s="6" t="s">
        <v>334</v>
      </c>
      <c r="C648" s="6" t="s">
        <v>306</v>
      </c>
      <c r="D648" s="6" t="s">
        <v>402</v>
      </c>
      <c r="E648" s="6" t="s">
        <v>403</v>
      </c>
      <c r="F648" s="9">
        <v>45581</v>
      </c>
      <c r="G648" s="9">
        <v>45595</v>
      </c>
      <c r="H648" s="10">
        <v>121</v>
      </c>
      <c r="I648" s="11">
        <v>238</v>
      </c>
      <c r="J648" s="6" t="s">
        <v>22</v>
      </c>
      <c r="K648" s="6" t="s">
        <v>404</v>
      </c>
      <c r="L648" s="6" t="s">
        <v>21</v>
      </c>
      <c r="M648" s="2">
        <f t="shared" si="10"/>
        <v>238</v>
      </c>
    </row>
    <row r="649" spans="1:13" x14ac:dyDescent="0.25">
      <c r="A649" s="6" t="s">
        <v>7</v>
      </c>
      <c r="B649" s="6" t="s">
        <v>334</v>
      </c>
      <c r="C649" s="6" t="s">
        <v>306</v>
      </c>
      <c r="D649" s="6" t="s">
        <v>405</v>
      </c>
      <c r="E649" s="6" t="s">
        <v>406</v>
      </c>
      <c r="F649" s="9">
        <v>45677</v>
      </c>
      <c r="G649" s="9">
        <v>45707</v>
      </c>
      <c r="H649" s="10">
        <v>9</v>
      </c>
      <c r="I649" s="11">
        <v>61308.800000000003</v>
      </c>
      <c r="J649" s="6" t="s">
        <v>22</v>
      </c>
      <c r="K649" s="6" t="s">
        <v>21</v>
      </c>
      <c r="L649" s="6" t="s">
        <v>21</v>
      </c>
      <c r="M649" s="2">
        <f t="shared" si="10"/>
        <v>61308.800000000003</v>
      </c>
    </row>
    <row r="650" spans="1:13" x14ac:dyDescent="0.25">
      <c r="A650" s="6" t="s">
        <v>7</v>
      </c>
      <c r="B650" s="6" t="s">
        <v>334</v>
      </c>
      <c r="C650" s="6" t="s">
        <v>306</v>
      </c>
      <c r="D650" s="6" t="s">
        <v>641</v>
      </c>
      <c r="E650" s="6" t="s">
        <v>642</v>
      </c>
      <c r="F650" s="9">
        <v>45685</v>
      </c>
      <c r="G650" s="9">
        <v>45715</v>
      </c>
      <c r="H650" s="10">
        <v>1</v>
      </c>
      <c r="I650" s="11">
        <v>19992</v>
      </c>
      <c r="J650" s="6" t="s">
        <v>22</v>
      </c>
      <c r="K650" s="6" t="s">
        <v>643</v>
      </c>
      <c r="L650" s="6" t="s">
        <v>21</v>
      </c>
      <c r="M650" s="2">
        <f t="shared" si="10"/>
        <v>19992</v>
      </c>
    </row>
    <row r="651" spans="1:13" x14ac:dyDescent="0.25">
      <c r="A651" s="6" t="s">
        <v>7</v>
      </c>
      <c r="B651" s="6" t="s">
        <v>407</v>
      </c>
      <c r="C651" s="6" t="s">
        <v>408</v>
      </c>
      <c r="D651" s="6" t="s">
        <v>644</v>
      </c>
      <c r="E651" s="6" t="s">
        <v>645</v>
      </c>
      <c r="F651" s="9">
        <v>45684</v>
      </c>
      <c r="G651" s="9">
        <v>45714</v>
      </c>
      <c r="H651" s="10">
        <v>2</v>
      </c>
      <c r="I651" s="11">
        <v>2145.13</v>
      </c>
      <c r="J651" s="6" t="s">
        <v>22</v>
      </c>
      <c r="K651" s="6" t="s">
        <v>21</v>
      </c>
      <c r="L651" s="6" t="s">
        <v>21</v>
      </c>
      <c r="M651" s="2">
        <f t="shared" si="10"/>
        <v>2145.13</v>
      </c>
    </row>
    <row r="652" spans="1:13" x14ac:dyDescent="0.25">
      <c r="A652" s="6" t="s">
        <v>7</v>
      </c>
      <c r="B652" s="6" t="s">
        <v>407</v>
      </c>
      <c r="C652" s="6" t="s">
        <v>408</v>
      </c>
      <c r="D652" s="6" t="s">
        <v>646</v>
      </c>
      <c r="E652" s="6" t="s">
        <v>647</v>
      </c>
      <c r="F652" s="9">
        <v>45684</v>
      </c>
      <c r="G652" s="9">
        <v>45714</v>
      </c>
      <c r="H652" s="10">
        <v>2</v>
      </c>
      <c r="I652" s="11">
        <v>1099697.3899999999</v>
      </c>
      <c r="J652" s="6" t="s">
        <v>22</v>
      </c>
      <c r="K652" s="6" t="s">
        <v>21</v>
      </c>
      <c r="L652" s="6" t="s">
        <v>21</v>
      </c>
      <c r="M652" s="2">
        <f t="shared" si="10"/>
        <v>1099697.3899999999</v>
      </c>
    </row>
    <row r="653" spans="1:13" x14ac:dyDescent="0.25">
      <c r="A653" s="6" t="s">
        <v>7</v>
      </c>
      <c r="B653" s="6" t="s">
        <v>407</v>
      </c>
      <c r="C653" s="6" t="s">
        <v>408</v>
      </c>
      <c r="D653" s="6" t="s">
        <v>1595</v>
      </c>
      <c r="E653" s="6" t="s">
        <v>1596</v>
      </c>
      <c r="F653" s="9">
        <v>45693</v>
      </c>
      <c r="G653" s="9">
        <v>45723</v>
      </c>
      <c r="H653" s="12">
        <v>-7</v>
      </c>
      <c r="I653" s="11">
        <v>2719.48</v>
      </c>
      <c r="J653" s="6" t="s">
        <v>22</v>
      </c>
      <c r="K653" s="6" t="s">
        <v>21</v>
      </c>
      <c r="L653" s="6" t="s">
        <v>21</v>
      </c>
      <c r="M653" s="2" t="str">
        <f t="shared" si="10"/>
        <v/>
      </c>
    </row>
    <row r="654" spans="1:13" x14ac:dyDescent="0.25">
      <c r="A654" s="6" t="s">
        <v>7</v>
      </c>
      <c r="B654" s="6" t="s">
        <v>407</v>
      </c>
      <c r="C654" s="6" t="s">
        <v>408</v>
      </c>
      <c r="D654" s="6" t="s">
        <v>1597</v>
      </c>
      <c r="E654" s="6" t="s">
        <v>1598</v>
      </c>
      <c r="F654" s="9">
        <v>45693</v>
      </c>
      <c r="G654" s="9">
        <v>45723</v>
      </c>
      <c r="H654" s="12">
        <v>-7</v>
      </c>
      <c r="I654" s="11">
        <v>165605.20000000001</v>
      </c>
      <c r="J654" s="6" t="s">
        <v>22</v>
      </c>
      <c r="K654" s="6" t="s">
        <v>21</v>
      </c>
      <c r="L654" s="6" t="s">
        <v>21</v>
      </c>
      <c r="M654" s="2" t="str">
        <f t="shared" si="10"/>
        <v/>
      </c>
    </row>
    <row r="655" spans="1:13" x14ac:dyDescent="0.25">
      <c r="A655" s="6" t="s">
        <v>7</v>
      </c>
      <c r="B655" s="6" t="s">
        <v>407</v>
      </c>
      <c r="C655" s="6" t="s">
        <v>408</v>
      </c>
      <c r="D655" s="6" t="s">
        <v>1599</v>
      </c>
      <c r="E655" s="6" t="s">
        <v>1600</v>
      </c>
      <c r="F655" s="9">
        <v>45693</v>
      </c>
      <c r="G655" s="9">
        <v>45723</v>
      </c>
      <c r="H655" s="12">
        <v>-7</v>
      </c>
      <c r="I655" s="11">
        <v>187600.32</v>
      </c>
      <c r="J655" s="6" t="s">
        <v>22</v>
      </c>
      <c r="K655" s="6" t="s">
        <v>21</v>
      </c>
      <c r="L655" s="6" t="s">
        <v>21</v>
      </c>
      <c r="M655" s="2" t="str">
        <f t="shared" si="10"/>
        <v/>
      </c>
    </row>
    <row r="656" spans="1:13" x14ac:dyDescent="0.25">
      <c r="A656" s="6" t="s">
        <v>7</v>
      </c>
      <c r="B656" s="6" t="s">
        <v>407</v>
      </c>
      <c r="C656" s="6" t="s">
        <v>408</v>
      </c>
      <c r="D656" s="6" t="s">
        <v>1601</v>
      </c>
      <c r="E656" s="6" t="s">
        <v>1602</v>
      </c>
      <c r="F656" s="9">
        <v>45693</v>
      </c>
      <c r="G656" s="9">
        <v>45723</v>
      </c>
      <c r="H656" s="12">
        <v>-7</v>
      </c>
      <c r="I656" s="11">
        <v>1115.73</v>
      </c>
      <c r="J656" s="6" t="s">
        <v>22</v>
      </c>
      <c r="K656" s="6" t="s">
        <v>21</v>
      </c>
      <c r="L656" s="6" t="s">
        <v>21</v>
      </c>
      <c r="M656" s="2" t="str">
        <f t="shared" si="10"/>
        <v/>
      </c>
    </row>
    <row r="657" spans="1:13" x14ac:dyDescent="0.25">
      <c r="A657" s="6" t="s">
        <v>7</v>
      </c>
      <c r="B657" s="6" t="s">
        <v>407</v>
      </c>
      <c r="C657" s="6" t="s">
        <v>408</v>
      </c>
      <c r="D657" s="6" t="s">
        <v>1603</v>
      </c>
      <c r="E657" s="6" t="s">
        <v>1604</v>
      </c>
      <c r="F657" s="9">
        <v>45693</v>
      </c>
      <c r="G657" s="9">
        <v>45723</v>
      </c>
      <c r="H657" s="12">
        <v>-7</v>
      </c>
      <c r="I657" s="11">
        <v>253950.91000000003</v>
      </c>
      <c r="J657" s="6" t="s">
        <v>22</v>
      </c>
      <c r="K657" s="6" t="s">
        <v>21</v>
      </c>
      <c r="L657" s="6" t="s">
        <v>21</v>
      </c>
      <c r="M657" s="2" t="str">
        <f t="shared" si="10"/>
        <v/>
      </c>
    </row>
    <row r="658" spans="1:13" x14ac:dyDescent="0.25">
      <c r="A658" s="6" t="s">
        <v>7</v>
      </c>
      <c r="B658" s="6" t="s">
        <v>407</v>
      </c>
      <c r="C658" s="6" t="s">
        <v>408</v>
      </c>
      <c r="D658" s="6" t="s">
        <v>1605</v>
      </c>
      <c r="E658" s="6" t="s">
        <v>1606</v>
      </c>
      <c r="F658" s="9">
        <v>45688</v>
      </c>
      <c r="G658" s="9">
        <v>45722</v>
      </c>
      <c r="H658" s="12">
        <v>-6</v>
      </c>
      <c r="I658" s="11">
        <v>7934.33</v>
      </c>
      <c r="J658" s="6" t="s">
        <v>22</v>
      </c>
      <c r="K658" s="6" t="s">
        <v>1607</v>
      </c>
      <c r="L658" s="6" t="s">
        <v>21</v>
      </c>
      <c r="M658" s="2" t="str">
        <f t="shared" si="10"/>
        <v/>
      </c>
    </row>
    <row r="659" spans="1:13" x14ac:dyDescent="0.25">
      <c r="A659" s="6" t="s">
        <v>7</v>
      </c>
      <c r="B659" s="6" t="s">
        <v>409</v>
      </c>
      <c r="C659" s="6" t="s">
        <v>410</v>
      </c>
      <c r="D659" s="6" t="s">
        <v>411</v>
      </c>
      <c r="E659" s="6" t="s">
        <v>412</v>
      </c>
      <c r="F659" s="9">
        <v>45662</v>
      </c>
      <c r="G659" s="9">
        <v>45676</v>
      </c>
      <c r="H659" s="10">
        <v>40</v>
      </c>
      <c r="I659" s="11">
        <v>138248.18</v>
      </c>
      <c r="J659" s="6" t="s">
        <v>22</v>
      </c>
      <c r="K659" s="6" t="s">
        <v>21</v>
      </c>
      <c r="L659" s="6" t="s">
        <v>21</v>
      </c>
      <c r="M659" s="2">
        <f t="shared" si="10"/>
        <v>138248.18</v>
      </c>
    </row>
    <row r="660" spans="1:13" x14ac:dyDescent="0.25">
      <c r="A660" s="6" t="s">
        <v>7</v>
      </c>
      <c r="B660" s="6" t="s">
        <v>409</v>
      </c>
      <c r="C660" s="6" t="s">
        <v>410</v>
      </c>
      <c r="D660" s="6" t="s">
        <v>413</v>
      </c>
      <c r="E660" s="6" t="s">
        <v>414</v>
      </c>
      <c r="F660" s="9">
        <v>45663</v>
      </c>
      <c r="G660" s="9">
        <v>45663</v>
      </c>
      <c r="H660" s="10">
        <v>53</v>
      </c>
      <c r="I660" s="13">
        <v>-2619.08</v>
      </c>
      <c r="J660" s="6" t="s">
        <v>22</v>
      </c>
      <c r="K660" s="6" t="s">
        <v>1608</v>
      </c>
      <c r="L660" s="6" t="s">
        <v>21</v>
      </c>
      <c r="M660" s="2">
        <f t="shared" si="10"/>
        <v>-2619.08</v>
      </c>
    </row>
    <row r="661" spans="1:13" x14ac:dyDescent="0.25">
      <c r="A661" s="6" t="s">
        <v>7</v>
      </c>
      <c r="B661" s="6" t="s">
        <v>409</v>
      </c>
      <c r="C661" s="6" t="s">
        <v>410</v>
      </c>
      <c r="D661" s="6" t="s">
        <v>415</v>
      </c>
      <c r="E661" s="6" t="s">
        <v>416</v>
      </c>
      <c r="F661" s="9">
        <v>45663</v>
      </c>
      <c r="G661" s="9">
        <v>45663</v>
      </c>
      <c r="H661" s="10">
        <v>53</v>
      </c>
      <c r="I661" s="13">
        <v>-8282.1299999999992</v>
      </c>
      <c r="J661" s="6" t="s">
        <v>22</v>
      </c>
      <c r="K661" s="6" t="s">
        <v>1608</v>
      </c>
      <c r="L661" s="6" t="s">
        <v>21</v>
      </c>
      <c r="M661" s="2">
        <f t="shared" si="10"/>
        <v>-8282.1299999999992</v>
      </c>
    </row>
    <row r="662" spans="1:13" x14ac:dyDescent="0.25">
      <c r="A662" s="6" t="s">
        <v>7</v>
      </c>
      <c r="B662" s="6" t="s">
        <v>409</v>
      </c>
      <c r="C662" s="6" t="s">
        <v>410</v>
      </c>
      <c r="D662" s="6" t="s">
        <v>417</v>
      </c>
      <c r="E662" s="6" t="s">
        <v>418</v>
      </c>
      <c r="F662" s="9">
        <v>45663</v>
      </c>
      <c r="G662" s="9">
        <v>45676</v>
      </c>
      <c r="H662" s="10">
        <v>40</v>
      </c>
      <c r="I662" s="13">
        <v>-229770.02</v>
      </c>
      <c r="J662" s="6" t="s">
        <v>22</v>
      </c>
      <c r="K662" s="6" t="s">
        <v>1608</v>
      </c>
      <c r="L662" s="6" t="s">
        <v>21</v>
      </c>
      <c r="M662" s="2">
        <f t="shared" si="10"/>
        <v>-229770.02</v>
      </c>
    </row>
    <row r="663" spans="1:13" x14ac:dyDescent="0.25">
      <c r="A663" s="6" t="s">
        <v>7</v>
      </c>
      <c r="B663" s="6" t="s">
        <v>409</v>
      </c>
      <c r="C663" s="6" t="s">
        <v>410</v>
      </c>
      <c r="D663" s="6" t="s">
        <v>419</v>
      </c>
      <c r="E663" s="6" t="s">
        <v>420</v>
      </c>
      <c r="F663" s="9">
        <v>45680</v>
      </c>
      <c r="G663" s="9">
        <v>45694</v>
      </c>
      <c r="H663" s="10">
        <v>22</v>
      </c>
      <c r="I663" s="11">
        <v>12307.74</v>
      </c>
      <c r="J663" s="6" t="s">
        <v>22</v>
      </c>
      <c r="K663" s="6" t="s">
        <v>21</v>
      </c>
      <c r="L663" s="6" t="s">
        <v>21</v>
      </c>
      <c r="M663" s="2">
        <f t="shared" si="10"/>
        <v>12307.74</v>
      </c>
    </row>
    <row r="664" spans="1:13" x14ac:dyDescent="0.25">
      <c r="A664" s="6" t="s">
        <v>7</v>
      </c>
      <c r="B664" s="6" t="s">
        <v>409</v>
      </c>
      <c r="C664" s="6" t="s">
        <v>410</v>
      </c>
      <c r="D664" s="6" t="s">
        <v>421</v>
      </c>
      <c r="E664" s="6" t="s">
        <v>422</v>
      </c>
      <c r="F664" s="9">
        <v>45680</v>
      </c>
      <c r="G664" s="9">
        <v>45694</v>
      </c>
      <c r="H664" s="10">
        <v>22</v>
      </c>
      <c r="I664" s="11">
        <v>9107.3700000000008</v>
      </c>
      <c r="J664" s="6" t="s">
        <v>22</v>
      </c>
      <c r="K664" s="6" t="s">
        <v>21</v>
      </c>
      <c r="L664" s="6" t="s">
        <v>21</v>
      </c>
      <c r="M664" s="2">
        <f t="shared" si="10"/>
        <v>9107.3700000000008</v>
      </c>
    </row>
    <row r="665" spans="1:13" x14ac:dyDescent="0.25">
      <c r="A665" s="6" t="s">
        <v>7</v>
      </c>
      <c r="B665" s="6" t="s">
        <v>409</v>
      </c>
      <c r="C665" s="6" t="s">
        <v>410</v>
      </c>
      <c r="D665" s="6" t="s">
        <v>423</v>
      </c>
      <c r="E665" s="6" t="s">
        <v>424</v>
      </c>
      <c r="F665" s="9">
        <v>45680</v>
      </c>
      <c r="G665" s="9">
        <v>45694</v>
      </c>
      <c r="H665" s="10">
        <v>22</v>
      </c>
      <c r="I665" s="11">
        <v>45267.75</v>
      </c>
      <c r="J665" s="6" t="s">
        <v>22</v>
      </c>
      <c r="K665" s="6" t="s">
        <v>21</v>
      </c>
      <c r="L665" s="6" t="s">
        <v>21</v>
      </c>
      <c r="M665" s="2">
        <f t="shared" si="10"/>
        <v>45267.75</v>
      </c>
    </row>
    <row r="666" spans="1:13" x14ac:dyDescent="0.25">
      <c r="A666" s="6" t="s">
        <v>7</v>
      </c>
      <c r="B666" s="6" t="s">
        <v>425</v>
      </c>
      <c r="C666" s="6" t="s">
        <v>426</v>
      </c>
      <c r="D666" s="6" t="s">
        <v>1609</v>
      </c>
      <c r="E666" s="6" t="s">
        <v>1610</v>
      </c>
      <c r="F666" s="9">
        <v>45698</v>
      </c>
      <c r="G666" s="9">
        <v>45712</v>
      </c>
      <c r="H666" s="10">
        <v>4</v>
      </c>
      <c r="I666" s="11">
        <v>539828.56999999995</v>
      </c>
      <c r="J666" s="6" t="s">
        <v>22</v>
      </c>
      <c r="K666" s="6" t="s">
        <v>21</v>
      </c>
      <c r="L666" s="6" t="s">
        <v>21</v>
      </c>
      <c r="M666" s="2">
        <f t="shared" si="10"/>
        <v>539828.56999999995</v>
      </c>
    </row>
    <row r="667" spans="1:13" x14ac:dyDescent="0.25">
      <c r="A667" s="6" t="s">
        <v>7</v>
      </c>
      <c r="B667" s="6" t="s">
        <v>425</v>
      </c>
      <c r="C667" s="6" t="s">
        <v>426</v>
      </c>
      <c r="D667" s="6" t="s">
        <v>1611</v>
      </c>
      <c r="E667" s="6" t="s">
        <v>1612</v>
      </c>
      <c r="F667" s="9">
        <v>45698</v>
      </c>
      <c r="G667" s="9">
        <v>45712</v>
      </c>
      <c r="H667" s="10">
        <v>4</v>
      </c>
      <c r="I667" s="11">
        <v>236510.43</v>
      </c>
      <c r="J667" s="6" t="s">
        <v>22</v>
      </c>
      <c r="K667" s="6" t="s">
        <v>21</v>
      </c>
      <c r="L667" s="6" t="s">
        <v>21</v>
      </c>
      <c r="M667" s="2">
        <f t="shared" si="10"/>
        <v>236510.43</v>
      </c>
    </row>
    <row r="668" spans="1:13" x14ac:dyDescent="0.25">
      <c r="A668" s="6" t="s">
        <v>7</v>
      </c>
      <c r="B668" s="6" t="s">
        <v>425</v>
      </c>
      <c r="C668" s="6" t="s">
        <v>426</v>
      </c>
      <c r="D668" s="6" t="s">
        <v>1613</v>
      </c>
      <c r="E668" s="6" t="s">
        <v>1614</v>
      </c>
      <c r="F668" s="9">
        <v>45698</v>
      </c>
      <c r="G668" s="9">
        <v>45712</v>
      </c>
      <c r="H668" s="10">
        <v>4</v>
      </c>
      <c r="I668" s="11">
        <v>43404.06</v>
      </c>
      <c r="J668" s="6" t="s">
        <v>22</v>
      </c>
      <c r="K668" s="6" t="s">
        <v>21</v>
      </c>
      <c r="L668" s="6" t="s">
        <v>21</v>
      </c>
      <c r="M668" s="2">
        <f t="shared" si="10"/>
        <v>43404.06</v>
      </c>
    </row>
    <row r="669" spans="1:13" x14ac:dyDescent="0.25">
      <c r="A669" s="6" t="s">
        <v>7</v>
      </c>
      <c r="B669" s="6" t="s">
        <v>425</v>
      </c>
      <c r="C669" s="6" t="s">
        <v>426</v>
      </c>
      <c r="D669" s="6" t="s">
        <v>1615</v>
      </c>
      <c r="E669" s="6" t="s">
        <v>1616</v>
      </c>
      <c r="F669" s="9">
        <v>45698</v>
      </c>
      <c r="G669" s="9">
        <v>45712</v>
      </c>
      <c r="H669" s="10">
        <v>4</v>
      </c>
      <c r="I669" s="11">
        <v>406487.39</v>
      </c>
      <c r="J669" s="6" t="s">
        <v>22</v>
      </c>
      <c r="K669" s="6" t="s">
        <v>21</v>
      </c>
      <c r="L669" s="6" t="s">
        <v>21</v>
      </c>
      <c r="M669" s="2">
        <f t="shared" si="10"/>
        <v>406487.39</v>
      </c>
    </row>
    <row r="670" spans="1:13" x14ac:dyDescent="0.25">
      <c r="A670" s="6" t="s">
        <v>7</v>
      </c>
      <c r="B670" s="6" t="s">
        <v>425</v>
      </c>
      <c r="C670" s="6" t="s">
        <v>426</v>
      </c>
      <c r="D670" s="6" t="s">
        <v>1617</v>
      </c>
      <c r="E670" s="6" t="s">
        <v>1618</v>
      </c>
      <c r="F670" s="9">
        <v>45698</v>
      </c>
      <c r="G670" s="9">
        <v>45712</v>
      </c>
      <c r="H670" s="10">
        <v>4</v>
      </c>
      <c r="I670" s="11">
        <v>31483.5</v>
      </c>
      <c r="J670" s="6" t="s">
        <v>22</v>
      </c>
      <c r="K670" s="6" t="s">
        <v>21</v>
      </c>
      <c r="L670" s="6" t="s">
        <v>21</v>
      </c>
      <c r="M670" s="2">
        <f t="shared" si="10"/>
        <v>31483.5</v>
      </c>
    </row>
    <row r="671" spans="1:13" x14ac:dyDescent="0.25">
      <c r="A671" s="6" t="s">
        <v>7</v>
      </c>
      <c r="B671" s="6" t="s">
        <v>425</v>
      </c>
      <c r="C671" s="6" t="s">
        <v>426</v>
      </c>
      <c r="D671" s="6" t="s">
        <v>1619</v>
      </c>
      <c r="E671" s="6" t="s">
        <v>1620</v>
      </c>
      <c r="F671" s="9">
        <v>45698</v>
      </c>
      <c r="G671" s="9">
        <v>45712</v>
      </c>
      <c r="H671" s="10">
        <v>4</v>
      </c>
      <c r="I671" s="11">
        <v>27543.87</v>
      </c>
      <c r="J671" s="6" t="s">
        <v>22</v>
      </c>
      <c r="K671" s="6" t="s">
        <v>21</v>
      </c>
      <c r="L671" s="6" t="s">
        <v>21</v>
      </c>
      <c r="M671" s="2">
        <f t="shared" si="10"/>
        <v>27543.87</v>
      </c>
    </row>
    <row r="672" spans="1:13" x14ac:dyDescent="0.25">
      <c r="A672" s="6" t="s">
        <v>7</v>
      </c>
      <c r="B672" s="6" t="s">
        <v>425</v>
      </c>
      <c r="C672" s="6" t="s">
        <v>426</v>
      </c>
      <c r="D672" s="6" t="s">
        <v>1621</v>
      </c>
      <c r="E672" s="6" t="s">
        <v>1622</v>
      </c>
      <c r="F672" s="9">
        <v>45698</v>
      </c>
      <c r="G672" s="9">
        <v>45712</v>
      </c>
      <c r="H672" s="10">
        <v>4</v>
      </c>
      <c r="I672" s="11">
        <v>19781.68</v>
      </c>
      <c r="J672" s="6" t="s">
        <v>22</v>
      </c>
      <c r="K672" s="6" t="s">
        <v>21</v>
      </c>
      <c r="L672" s="6" t="s">
        <v>21</v>
      </c>
      <c r="M672" s="2">
        <f t="shared" si="10"/>
        <v>19781.68</v>
      </c>
    </row>
    <row r="673" spans="1:13" x14ac:dyDescent="0.25">
      <c r="A673" s="6" t="s">
        <v>7</v>
      </c>
      <c r="B673" s="6" t="s">
        <v>425</v>
      </c>
      <c r="C673" s="6" t="s">
        <v>426</v>
      </c>
      <c r="D673" s="6" t="s">
        <v>1623</v>
      </c>
      <c r="E673" s="6" t="s">
        <v>1624</v>
      </c>
      <c r="F673" s="9">
        <v>45698</v>
      </c>
      <c r="G673" s="9">
        <v>45712</v>
      </c>
      <c r="H673" s="10">
        <v>4</v>
      </c>
      <c r="I673" s="11">
        <v>22312.61</v>
      </c>
      <c r="J673" s="6" t="s">
        <v>22</v>
      </c>
      <c r="K673" s="6" t="s">
        <v>21</v>
      </c>
      <c r="L673" s="6" t="s">
        <v>21</v>
      </c>
      <c r="M673" s="2">
        <f t="shared" si="10"/>
        <v>22312.61</v>
      </c>
    </row>
    <row r="674" spans="1:13" x14ac:dyDescent="0.25">
      <c r="A674" s="6" t="s">
        <v>7</v>
      </c>
      <c r="B674" s="6" t="s">
        <v>425</v>
      </c>
      <c r="C674" s="6" t="s">
        <v>426</v>
      </c>
      <c r="D674" s="6" t="s">
        <v>1625</v>
      </c>
      <c r="E674" s="6" t="s">
        <v>1626</v>
      </c>
      <c r="F674" s="9">
        <v>45698</v>
      </c>
      <c r="G674" s="9">
        <v>45712</v>
      </c>
      <c r="H674" s="10">
        <v>4</v>
      </c>
      <c r="I674" s="11">
        <v>12205.39</v>
      </c>
      <c r="J674" s="6" t="s">
        <v>22</v>
      </c>
      <c r="K674" s="6" t="s">
        <v>21</v>
      </c>
      <c r="L674" s="6" t="s">
        <v>21</v>
      </c>
      <c r="M674" s="2">
        <f t="shared" si="10"/>
        <v>12205.39</v>
      </c>
    </row>
    <row r="675" spans="1:13" x14ac:dyDescent="0.25">
      <c r="A675" s="6" t="s">
        <v>7</v>
      </c>
      <c r="B675" s="6" t="s">
        <v>425</v>
      </c>
      <c r="C675" s="6" t="s">
        <v>426</v>
      </c>
      <c r="D675" s="6" t="s">
        <v>1627</v>
      </c>
      <c r="E675" s="6" t="s">
        <v>1628</v>
      </c>
      <c r="F675" s="9">
        <v>45698</v>
      </c>
      <c r="G675" s="9">
        <v>45712</v>
      </c>
      <c r="H675" s="10">
        <v>4</v>
      </c>
      <c r="I675" s="11">
        <v>19942.02</v>
      </c>
      <c r="J675" s="6" t="s">
        <v>22</v>
      </c>
      <c r="K675" s="6" t="s">
        <v>21</v>
      </c>
      <c r="L675" s="6" t="s">
        <v>21</v>
      </c>
      <c r="M675" s="2">
        <f t="shared" si="10"/>
        <v>19942.02</v>
      </c>
    </row>
    <row r="676" spans="1:13" x14ac:dyDescent="0.25">
      <c r="A676" s="6" t="s">
        <v>7</v>
      </c>
      <c r="B676" s="6" t="s">
        <v>425</v>
      </c>
      <c r="C676" s="6" t="s">
        <v>426</v>
      </c>
      <c r="D676" s="6" t="s">
        <v>1629</v>
      </c>
      <c r="E676" s="6" t="s">
        <v>1630</v>
      </c>
      <c r="F676" s="9">
        <v>45702</v>
      </c>
      <c r="G676" s="9">
        <v>45716</v>
      </c>
      <c r="H676" s="10">
        <v>0</v>
      </c>
      <c r="I676" s="11">
        <v>4148.34</v>
      </c>
      <c r="J676" s="6" t="s">
        <v>22</v>
      </c>
      <c r="K676" s="6" t="s">
        <v>1631</v>
      </c>
      <c r="L676" s="6" t="s">
        <v>21</v>
      </c>
      <c r="M676" s="2" t="str">
        <f t="shared" si="10"/>
        <v/>
      </c>
    </row>
    <row r="677" spans="1:13" x14ac:dyDescent="0.25">
      <c r="A677" s="6" t="s">
        <v>7</v>
      </c>
      <c r="B677" s="6" t="s">
        <v>425</v>
      </c>
      <c r="C677" s="6" t="s">
        <v>426</v>
      </c>
      <c r="D677" s="6" t="s">
        <v>428</v>
      </c>
      <c r="E677" s="6" t="s">
        <v>429</v>
      </c>
      <c r="F677" s="9">
        <v>45679</v>
      </c>
      <c r="G677" s="9">
        <v>45709</v>
      </c>
      <c r="H677" s="10">
        <v>7</v>
      </c>
      <c r="I677" s="11">
        <v>105220.99</v>
      </c>
      <c r="J677" s="6" t="s">
        <v>22</v>
      </c>
      <c r="K677" s="6" t="s">
        <v>430</v>
      </c>
      <c r="L677" s="6" t="s">
        <v>21</v>
      </c>
      <c r="M677" s="2">
        <f t="shared" si="10"/>
        <v>105220.99</v>
      </c>
    </row>
    <row r="678" spans="1:13" x14ac:dyDescent="0.25">
      <c r="A678" s="6" t="s">
        <v>7</v>
      </c>
      <c r="B678" s="6" t="s">
        <v>425</v>
      </c>
      <c r="C678" s="6" t="s">
        <v>426</v>
      </c>
      <c r="D678" s="6" t="s">
        <v>1632</v>
      </c>
      <c r="E678" s="6" t="s">
        <v>1633</v>
      </c>
      <c r="F678" s="9">
        <v>45698</v>
      </c>
      <c r="G678" s="9">
        <v>45728</v>
      </c>
      <c r="H678" s="12">
        <v>-12</v>
      </c>
      <c r="I678" s="11">
        <v>7913.5</v>
      </c>
      <c r="J678" s="6" t="s">
        <v>22</v>
      </c>
      <c r="K678" s="6" t="s">
        <v>427</v>
      </c>
      <c r="L678" s="6" t="s">
        <v>21</v>
      </c>
      <c r="M678" s="2" t="str">
        <f t="shared" si="10"/>
        <v/>
      </c>
    </row>
    <row r="679" spans="1:13" x14ac:dyDescent="0.25">
      <c r="A679" s="6" t="s">
        <v>7</v>
      </c>
      <c r="B679" s="6" t="s">
        <v>425</v>
      </c>
      <c r="C679" s="6" t="s">
        <v>426</v>
      </c>
      <c r="D679" s="6" t="s">
        <v>1634</v>
      </c>
      <c r="E679" s="6" t="s">
        <v>1635</v>
      </c>
      <c r="F679" s="9">
        <v>45709</v>
      </c>
      <c r="G679" s="9">
        <v>45739</v>
      </c>
      <c r="H679" s="12">
        <v>-23</v>
      </c>
      <c r="I679" s="11">
        <v>70280.210000000006</v>
      </c>
      <c r="J679" s="6" t="s">
        <v>22</v>
      </c>
      <c r="K679" s="6" t="s">
        <v>25</v>
      </c>
      <c r="L679" s="6" t="s">
        <v>21</v>
      </c>
      <c r="M679" s="2" t="str">
        <f t="shared" si="10"/>
        <v/>
      </c>
    </row>
    <row r="680" spans="1:13" x14ac:dyDescent="0.25">
      <c r="A680" s="6" t="s">
        <v>7</v>
      </c>
      <c r="B680" s="6" t="s">
        <v>431</v>
      </c>
      <c r="C680" s="6" t="s">
        <v>432</v>
      </c>
      <c r="D680" s="6" t="s">
        <v>1636</v>
      </c>
      <c r="E680" s="6" t="s">
        <v>21</v>
      </c>
      <c r="F680" s="9">
        <v>45677</v>
      </c>
      <c r="G680" s="9">
        <v>45677</v>
      </c>
      <c r="H680" s="10">
        <v>39</v>
      </c>
      <c r="I680" s="13">
        <v>-4264.78</v>
      </c>
      <c r="J680" s="6" t="s">
        <v>22</v>
      </c>
      <c r="K680" s="6" t="s">
        <v>21</v>
      </c>
      <c r="L680" s="6" t="s">
        <v>21</v>
      </c>
      <c r="M680" s="2">
        <f t="shared" si="10"/>
        <v>-4264.78</v>
      </c>
    </row>
    <row r="681" spans="1:13" x14ac:dyDescent="0.25">
      <c r="A681" s="6" t="s">
        <v>7</v>
      </c>
      <c r="B681" s="6" t="s">
        <v>431</v>
      </c>
      <c r="C681" s="6" t="s">
        <v>432</v>
      </c>
      <c r="D681" s="6" t="s">
        <v>1637</v>
      </c>
      <c r="E681" s="6" t="s">
        <v>1638</v>
      </c>
      <c r="F681" s="9">
        <v>45709</v>
      </c>
      <c r="G681" s="9">
        <v>45723</v>
      </c>
      <c r="H681" s="12">
        <v>-7</v>
      </c>
      <c r="I681" s="11">
        <v>1058969.3500000001</v>
      </c>
      <c r="J681" s="6" t="s">
        <v>22</v>
      </c>
      <c r="K681" s="6" t="s">
        <v>21</v>
      </c>
      <c r="L681" s="6" t="s">
        <v>21</v>
      </c>
      <c r="M681" s="2" t="str">
        <f t="shared" si="10"/>
        <v/>
      </c>
    </row>
    <row r="682" spans="1:13" x14ac:dyDescent="0.25">
      <c r="A682" s="6" t="s">
        <v>7</v>
      </c>
      <c r="B682" s="6" t="s">
        <v>431</v>
      </c>
      <c r="C682" s="6" t="s">
        <v>432</v>
      </c>
      <c r="D682" s="6" t="s">
        <v>1639</v>
      </c>
      <c r="E682" s="6" t="s">
        <v>1640</v>
      </c>
      <c r="F682" s="9">
        <v>45714</v>
      </c>
      <c r="G682" s="9">
        <v>45714</v>
      </c>
      <c r="H682" s="10">
        <v>2</v>
      </c>
      <c r="I682" s="13">
        <v>-967885.61</v>
      </c>
      <c r="J682" s="6" t="s">
        <v>22</v>
      </c>
      <c r="K682" s="6" t="s">
        <v>21</v>
      </c>
      <c r="L682" s="6" t="s">
        <v>21</v>
      </c>
      <c r="M682" s="2">
        <f t="shared" si="10"/>
        <v>-967885.61</v>
      </c>
    </row>
    <row r="683" spans="1:13" x14ac:dyDescent="0.25">
      <c r="A683" s="6" t="s">
        <v>7</v>
      </c>
      <c r="B683" s="6" t="s">
        <v>433</v>
      </c>
      <c r="C683" s="6" t="s">
        <v>426</v>
      </c>
      <c r="D683" s="6" t="s">
        <v>434</v>
      </c>
      <c r="E683" s="6" t="s">
        <v>435</v>
      </c>
      <c r="F683" s="9">
        <v>45680</v>
      </c>
      <c r="G683" s="9">
        <v>45694</v>
      </c>
      <c r="H683" s="10">
        <v>22</v>
      </c>
      <c r="I683" s="11">
        <v>3396.86</v>
      </c>
      <c r="J683" s="6" t="s">
        <v>22</v>
      </c>
      <c r="K683" s="6" t="s">
        <v>21</v>
      </c>
      <c r="L683" s="6" t="s">
        <v>21</v>
      </c>
      <c r="M683" s="2">
        <f t="shared" si="10"/>
        <v>3396.86</v>
      </c>
    </row>
    <row r="684" spans="1:13" x14ac:dyDescent="0.25">
      <c r="A684" s="6" t="s">
        <v>7</v>
      </c>
      <c r="B684" s="6" t="s">
        <v>433</v>
      </c>
      <c r="C684" s="6" t="s">
        <v>426</v>
      </c>
      <c r="D684" s="6" t="s">
        <v>436</v>
      </c>
      <c r="E684" s="6" t="s">
        <v>437</v>
      </c>
      <c r="F684" s="9">
        <v>45680</v>
      </c>
      <c r="G684" s="9">
        <v>45694</v>
      </c>
      <c r="H684" s="10">
        <v>22</v>
      </c>
      <c r="I684" s="11">
        <v>8492.14</v>
      </c>
      <c r="J684" s="6" t="s">
        <v>22</v>
      </c>
      <c r="K684" s="6" t="s">
        <v>21</v>
      </c>
      <c r="L684" s="6" t="s">
        <v>21</v>
      </c>
      <c r="M684" s="2">
        <f t="shared" si="10"/>
        <v>8492.14</v>
      </c>
    </row>
    <row r="685" spans="1:13" x14ac:dyDescent="0.25">
      <c r="A685" s="6" t="s">
        <v>7</v>
      </c>
      <c r="B685" s="6" t="s">
        <v>438</v>
      </c>
      <c r="C685" s="6" t="s">
        <v>439</v>
      </c>
      <c r="D685" s="6" t="s">
        <v>1641</v>
      </c>
      <c r="E685" s="6" t="s">
        <v>1642</v>
      </c>
      <c r="F685" s="9">
        <v>45708</v>
      </c>
      <c r="G685" s="9">
        <v>45738</v>
      </c>
      <c r="H685" s="12">
        <v>-22</v>
      </c>
      <c r="I685" s="11">
        <v>19504.099999999999</v>
      </c>
      <c r="J685" s="6" t="s">
        <v>22</v>
      </c>
      <c r="K685" s="6" t="s">
        <v>21</v>
      </c>
      <c r="L685" s="6" t="s">
        <v>21</v>
      </c>
      <c r="M685" s="2" t="str">
        <f t="shared" si="10"/>
        <v/>
      </c>
    </row>
    <row r="686" spans="1:13" x14ac:dyDescent="0.25">
      <c r="A686" s="6" t="s">
        <v>7</v>
      </c>
      <c r="B686" s="6" t="s">
        <v>440</v>
      </c>
      <c r="C686" s="6" t="s">
        <v>441</v>
      </c>
      <c r="D686" s="6" t="s">
        <v>1643</v>
      </c>
      <c r="E686" s="6" t="s">
        <v>1644</v>
      </c>
      <c r="F686" s="9">
        <v>45705</v>
      </c>
      <c r="G686" s="9">
        <v>45735</v>
      </c>
      <c r="H686" s="12">
        <v>-19</v>
      </c>
      <c r="I686" s="11">
        <v>3226.0299999999997</v>
      </c>
      <c r="J686" s="6" t="s">
        <v>22</v>
      </c>
      <c r="K686" s="6" t="s">
        <v>21</v>
      </c>
      <c r="L686" s="6" t="s">
        <v>21</v>
      </c>
      <c r="M686" s="2" t="str">
        <f t="shared" si="10"/>
        <v/>
      </c>
    </row>
    <row r="687" spans="1:13" x14ac:dyDescent="0.25">
      <c r="A687" s="6" t="s">
        <v>7</v>
      </c>
      <c r="B687" s="6" t="s">
        <v>440</v>
      </c>
      <c r="C687" s="6" t="s">
        <v>441</v>
      </c>
      <c r="D687" s="6" t="s">
        <v>442</v>
      </c>
      <c r="E687" s="6" t="s">
        <v>443</v>
      </c>
      <c r="F687" s="9">
        <v>45679</v>
      </c>
      <c r="G687" s="9">
        <v>45709</v>
      </c>
      <c r="H687" s="10">
        <v>7</v>
      </c>
      <c r="I687" s="11">
        <v>536.04</v>
      </c>
      <c r="J687" s="6" t="s">
        <v>22</v>
      </c>
      <c r="K687" s="6" t="s">
        <v>1645</v>
      </c>
      <c r="L687" s="6" t="s">
        <v>21</v>
      </c>
      <c r="M687" s="2">
        <f t="shared" si="10"/>
        <v>536.04</v>
      </c>
    </row>
    <row r="688" spans="1:13" x14ac:dyDescent="0.25">
      <c r="A688" s="6" t="s">
        <v>7</v>
      </c>
      <c r="B688" s="6" t="s">
        <v>440</v>
      </c>
      <c r="C688" s="6" t="s">
        <v>441</v>
      </c>
      <c r="D688" s="6" t="s">
        <v>444</v>
      </c>
      <c r="E688" s="6" t="s">
        <v>445</v>
      </c>
      <c r="F688" s="9">
        <v>45680</v>
      </c>
      <c r="G688" s="9">
        <v>45694</v>
      </c>
      <c r="H688" s="10">
        <v>22</v>
      </c>
      <c r="I688" s="11">
        <v>391.76</v>
      </c>
      <c r="J688" s="6" t="s">
        <v>22</v>
      </c>
      <c r="K688" s="6" t="s">
        <v>1645</v>
      </c>
      <c r="L688" s="6" t="s">
        <v>21</v>
      </c>
      <c r="M688" s="2">
        <f t="shared" si="10"/>
        <v>391.76</v>
      </c>
    </row>
    <row r="689" spans="1:13" x14ac:dyDescent="0.25">
      <c r="A689" s="6" t="s">
        <v>7</v>
      </c>
      <c r="B689" s="6" t="s">
        <v>440</v>
      </c>
      <c r="C689" s="6" t="s">
        <v>441</v>
      </c>
      <c r="D689" s="6" t="s">
        <v>1646</v>
      </c>
      <c r="E689" s="6" t="s">
        <v>1647</v>
      </c>
      <c r="F689" s="9">
        <v>45698</v>
      </c>
      <c r="G689" s="9">
        <v>45728</v>
      </c>
      <c r="H689" s="12">
        <v>-12</v>
      </c>
      <c r="I689" s="11">
        <v>1266.46</v>
      </c>
      <c r="J689" s="6" t="s">
        <v>22</v>
      </c>
      <c r="K689" s="6" t="s">
        <v>21</v>
      </c>
      <c r="L689" s="6" t="s">
        <v>21</v>
      </c>
      <c r="M689" s="2" t="str">
        <f t="shared" si="10"/>
        <v/>
      </c>
    </row>
    <row r="690" spans="1:13" x14ac:dyDescent="0.25">
      <c r="A690" s="6" t="s">
        <v>7</v>
      </c>
      <c r="B690" s="6" t="s">
        <v>440</v>
      </c>
      <c r="C690" s="6" t="s">
        <v>441</v>
      </c>
      <c r="D690" s="6" t="s">
        <v>1648</v>
      </c>
      <c r="E690" s="6" t="s">
        <v>1649</v>
      </c>
      <c r="F690" s="9">
        <v>45705</v>
      </c>
      <c r="G690" s="9">
        <v>45735</v>
      </c>
      <c r="H690" s="12">
        <v>-19</v>
      </c>
      <c r="I690" s="11">
        <v>645.99</v>
      </c>
      <c r="J690" s="6" t="s">
        <v>22</v>
      </c>
      <c r="K690" s="6" t="s">
        <v>21</v>
      </c>
      <c r="L690" s="6" t="s">
        <v>21</v>
      </c>
      <c r="M690" s="2" t="str">
        <f t="shared" si="10"/>
        <v/>
      </c>
    </row>
    <row r="691" spans="1:13" x14ac:dyDescent="0.25">
      <c r="A691" s="6" t="s">
        <v>7</v>
      </c>
      <c r="B691" s="6" t="s">
        <v>440</v>
      </c>
      <c r="C691" s="6" t="s">
        <v>441</v>
      </c>
      <c r="D691" s="6" t="s">
        <v>1650</v>
      </c>
      <c r="E691" s="6" t="s">
        <v>1651</v>
      </c>
      <c r="F691" s="9">
        <v>45705</v>
      </c>
      <c r="G691" s="9">
        <v>45735</v>
      </c>
      <c r="H691" s="12">
        <v>-19</v>
      </c>
      <c r="I691" s="11">
        <v>109.96000000000001</v>
      </c>
      <c r="J691" s="6" t="s">
        <v>22</v>
      </c>
      <c r="K691" s="6" t="s">
        <v>21</v>
      </c>
      <c r="L691" s="6" t="s">
        <v>21</v>
      </c>
      <c r="M691" s="2" t="str">
        <f t="shared" si="10"/>
        <v/>
      </c>
    </row>
    <row r="692" spans="1:13" x14ac:dyDescent="0.25">
      <c r="A692" s="6" t="s">
        <v>7</v>
      </c>
      <c r="B692" s="6" t="s">
        <v>440</v>
      </c>
      <c r="C692" s="6" t="s">
        <v>441</v>
      </c>
      <c r="D692" s="6" t="s">
        <v>1652</v>
      </c>
      <c r="E692" s="6" t="s">
        <v>1653</v>
      </c>
      <c r="F692" s="9">
        <v>45705</v>
      </c>
      <c r="G692" s="9">
        <v>45735</v>
      </c>
      <c r="H692" s="12">
        <v>-19</v>
      </c>
      <c r="I692" s="11">
        <v>157.07999999999998</v>
      </c>
      <c r="J692" s="6" t="s">
        <v>22</v>
      </c>
      <c r="K692" s="6" t="s">
        <v>21</v>
      </c>
      <c r="L692" s="6" t="s">
        <v>21</v>
      </c>
      <c r="M692" s="2" t="str">
        <f t="shared" si="10"/>
        <v/>
      </c>
    </row>
    <row r="693" spans="1:13" x14ac:dyDescent="0.25">
      <c r="A693" s="6" t="s">
        <v>7</v>
      </c>
      <c r="B693" s="6" t="s">
        <v>440</v>
      </c>
      <c r="C693" s="6" t="s">
        <v>441</v>
      </c>
      <c r="D693" s="6" t="s">
        <v>648</v>
      </c>
      <c r="E693" s="6" t="s">
        <v>649</v>
      </c>
      <c r="F693" s="9">
        <v>45684</v>
      </c>
      <c r="G693" s="9">
        <v>45714</v>
      </c>
      <c r="H693" s="10">
        <v>2</v>
      </c>
      <c r="I693" s="11">
        <v>357.36</v>
      </c>
      <c r="J693" s="6" t="s">
        <v>22</v>
      </c>
      <c r="K693" s="6" t="s">
        <v>1645</v>
      </c>
      <c r="L693" s="6" t="s">
        <v>21</v>
      </c>
      <c r="M693" s="2">
        <f t="shared" si="10"/>
        <v>357.36</v>
      </c>
    </row>
    <row r="694" spans="1:13" x14ac:dyDescent="0.25">
      <c r="A694" s="6" t="s">
        <v>7</v>
      </c>
      <c r="B694" s="6" t="s">
        <v>440</v>
      </c>
      <c r="C694" s="6" t="s">
        <v>441</v>
      </c>
      <c r="D694" s="6" t="s">
        <v>650</v>
      </c>
      <c r="E694" s="6" t="s">
        <v>651</v>
      </c>
      <c r="F694" s="9">
        <v>45684</v>
      </c>
      <c r="G694" s="9">
        <v>45714</v>
      </c>
      <c r="H694" s="10">
        <v>2</v>
      </c>
      <c r="I694" s="11">
        <v>149.23000000000002</v>
      </c>
      <c r="J694" s="6" t="s">
        <v>22</v>
      </c>
      <c r="K694" s="6" t="s">
        <v>1645</v>
      </c>
      <c r="L694" s="6" t="s">
        <v>21</v>
      </c>
      <c r="M694" s="2">
        <f t="shared" si="10"/>
        <v>149.23000000000002</v>
      </c>
    </row>
    <row r="695" spans="1:13" x14ac:dyDescent="0.25">
      <c r="A695" s="6" t="s">
        <v>7</v>
      </c>
      <c r="B695" s="6" t="s">
        <v>440</v>
      </c>
      <c r="C695" s="6" t="s">
        <v>441</v>
      </c>
      <c r="D695" s="6" t="s">
        <v>652</v>
      </c>
      <c r="E695" s="6" t="s">
        <v>653</v>
      </c>
      <c r="F695" s="9">
        <v>45684</v>
      </c>
      <c r="G695" s="9">
        <v>45714</v>
      </c>
      <c r="H695" s="10">
        <v>2</v>
      </c>
      <c r="I695" s="11">
        <v>178.68</v>
      </c>
      <c r="J695" s="6" t="s">
        <v>22</v>
      </c>
      <c r="K695" s="6" t="s">
        <v>1645</v>
      </c>
      <c r="L695" s="6" t="s">
        <v>21</v>
      </c>
      <c r="M695" s="2">
        <f t="shared" si="10"/>
        <v>178.68</v>
      </c>
    </row>
    <row r="696" spans="1:13" x14ac:dyDescent="0.25">
      <c r="A696" s="6" t="s">
        <v>7</v>
      </c>
      <c r="B696" s="6" t="s">
        <v>440</v>
      </c>
      <c r="C696" s="6" t="s">
        <v>441</v>
      </c>
      <c r="D696" s="6" t="s">
        <v>1654</v>
      </c>
      <c r="E696" s="6" t="s">
        <v>1655</v>
      </c>
      <c r="F696" s="9">
        <v>45688</v>
      </c>
      <c r="G696" s="9">
        <v>45718</v>
      </c>
      <c r="H696" s="12">
        <v>-2</v>
      </c>
      <c r="I696" s="11">
        <v>3402.75</v>
      </c>
      <c r="J696" s="6" t="s">
        <v>22</v>
      </c>
      <c r="K696" s="6" t="s">
        <v>1645</v>
      </c>
      <c r="L696" s="6" t="s">
        <v>21</v>
      </c>
      <c r="M696" s="2" t="str">
        <f t="shared" si="10"/>
        <v/>
      </c>
    </row>
    <row r="697" spans="1:13" x14ac:dyDescent="0.25">
      <c r="A697" s="6" t="s">
        <v>7</v>
      </c>
      <c r="B697" s="6" t="s">
        <v>440</v>
      </c>
      <c r="C697" s="6" t="s">
        <v>441</v>
      </c>
      <c r="D697" s="6" t="s">
        <v>1656</v>
      </c>
      <c r="E697" s="6" t="s">
        <v>1657</v>
      </c>
      <c r="F697" s="9">
        <v>45709</v>
      </c>
      <c r="G697" s="9">
        <v>45739</v>
      </c>
      <c r="H697" s="12">
        <v>-23</v>
      </c>
      <c r="I697" s="11">
        <v>1474.59</v>
      </c>
      <c r="J697" s="6" t="s">
        <v>22</v>
      </c>
      <c r="K697" s="6" t="s">
        <v>21</v>
      </c>
      <c r="L697" s="6" t="s">
        <v>21</v>
      </c>
      <c r="M697" s="2" t="str">
        <f t="shared" si="10"/>
        <v/>
      </c>
    </row>
    <row r="698" spans="1:13" x14ac:dyDescent="0.25">
      <c r="A698" s="6" t="s">
        <v>7</v>
      </c>
      <c r="B698" s="6" t="s">
        <v>440</v>
      </c>
      <c r="C698" s="6" t="s">
        <v>441</v>
      </c>
      <c r="D698" s="6" t="s">
        <v>1658</v>
      </c>
      <c r="E698" s="6" t="s">
        <v>1659</v>
      </c>
      <c r="F698" s="9">
        <v>45709</v>
      </c>
      <c r="G698" s="9">
        <v>45739</v>
      </c>
      <c r="H698" s="12">
        <v>-23</v>
      </c>
      <c r="I698" s="11">
        <v>184.57</v>
      </c>
      <c r="J698" s="6" t="s">
        <v>22</v>
      </c>
      <c r="K698" s="6" t="s">
        <v>21</v>
      </c>
      <c r="L698" s="6" t="s">
        <v>21</v>
      </c>
      <c r="M698" s="2" t="str">
        <f t="shared" si="10"/>
        <v/>
      </c>
    </row>
    <row r="699" spans="1:13" x14ac:dyDescent="0.25">
      <c r="A699" s="6" t="s">
        <v>7</v>
      </c>
      <c r="B699" s="6" t="s">
        <v>440</v>
      </c>
      <c r="C699" s="6" t="s">
        <v>441</v>
      </c>
      <c r="D699" s="6" t="s">
        <v>1660</v>
      </c>
      <c r="E699" s="6" t="s">
        <v>1661</v>
      </c>
      <c r="F699" s="9">
        <v>45709</v>
      </c>
      <c r="G699" s="9">
        <v>45739</v>
      </c>
      <c r="H699" s="12">
        <v>-23</v>
      </c>
      <c r="I699" s="11">
        <v>62.83</v>
      </c>
      <c r="J699" s="6" t="s">
        <v>22</v>
      </c>
      <c r="K699" s="6" t="s">
        <v>21</v>
      </c>
      <c r="L699" s="6" t="s">
        <v>21</v>
      </c>
      <c r="M699" s="2" t="str">
        <f t="shared" si="10"/>
        <v/>
      </c>
    </row>
    <row r="700" spans="1:13" x14ac:dyDescent="0.25">
      <c r="A700" s="6" t="s">
        <v>7</v>
      </c>
      <c r="B700" s="6" t="s">
        <v>440</v>
      </c>
      <c r="C700" s="6" t="s">
        <v>441</v>
      </c>
      <c r="D700" s="6" t="s">
        <v>654</v>
      </c>
      <c r="E700" s="6" t="s">
        <v>655</v>
      </c>
      <c r="F700" s="9">
        <v>45684</v>
      </c>
      <c r="G700" s="9">
        <v>45714</v>
      </c>
      <c r="H700" s="10">
        <v>2</v>
      </c>
      <c r="I700" s="11">
        <v>66.52000000000001</v>
      </c>
      <c r="J700" s="6" t="s">
        <v>22</v>
      </c>
      <c r="K700" s="6" t="s">
        <v>1645</v>
      </c>
      <c r="L700" s="6" t="s">
        <v>21</v>
      </c>
      <c r="M700" s="2">
        <f t="shared" si="10"/>
        <v>66.52000000000001</v>
      </c>
    </row>
    <row r="701" spans="1:13" x14ac:dyDescent="0.25">
      <c r="A701" s="6" t="s">
        <v>7</v>
      </c>
      <c r="B701" s="6" t="s">
        <v>440</v>
      </c>
      <c r="C701" s="6" t="s">
        <v>441</v>
      </c>
      <c r="D701" s="6" t="s">
        <v>656</v>
      </c>
      <c r="E701" s="6" t="s">
        <v>657</v>
      </c>
      <c r="F701" s="9">
        <v>45681</v>
      </c>
      <c r="G701" s="9">
        <v>45711</v>
      </c>
      <c r="H701" s="10">
        <v>5</v>
      </c>
      <c r="I701" s="11">
        <v>149.23000000000002</v>
      </c>
      <c r="J701" s="6" t="s">
        <v>22</v>
      </c>
      <c r="K701" s="6" t="s">
        <v>1645</v>
      </c>
      <c r="L701" s="6" t="s">
        <v>21</v>
      </c>
      <c r="M701" s="2">
        <f t="shared" si="10"/>
        <v>149.23000000000002</v>
      </c>
    </row>
    <row r="702" spans="1:13" x14ac:dyDescent="0.25">
      <c r="A702" s="6" t="s">
        <v>7</v>
      </c>
      <c r="B702" s="6" t="s">
        <v>440</v>
      </c>
      <c r="C702" s="6" t="s">
        <v>441</v>
      </c>
      <c r="D702" s="6" t="s">
        <v>1662</v>
      </c>
      <c r="E702" s="6" t="s">
        <v>1663</v>
      </c>
      <c r="F702" s="9">
        <v>45693</v>
      </c>
      <c r="G702" s="9">
        <v>45723</v>
      </c>
      <c r="H702" s="12">
        <v>-7</v>
      </c>
      <c r="I702" s="11">
        <v>76.58</v>
      </c>
      <c r="J702" s="6" t="s">
        <v>22</v>
      </c>
      <c r="K702" s="6" t="s">
        <v>21</v>
      </c>
      <c r="L702" s="6" t="s">
        <v>21</v>
      </c>
      <c r="M702" s="2" t="str">
        <f t="shared" si="10"/>
        <v/>
      </c>
    </row>
    <row r="703" spans="1:13" x14ac:dyDescent="0.25">
      <c r="A703" s="6" t="s">
        <v>7</v>
      </c>
      <c r="B703" s="6" t="s">
        <v>440</v>
      </c>
      <c r="C703" s="6" t="s">
        <v>441</v>
      </c>
      <c r="D703" s="6" t="s">
        <v>1664</v>
      </c>
      <c r="E703" s="6" t="s">
        <v>1665</v>
      </c>
      <c r="F703" s="9">
        <v>45693</v>
      </c>
      <c r="G703" s="9">
        <v>45707</v>
      </c>
      <c r="H703" s="10">
        <v>9</v>
      </c>
      <c r="I703" s="11">
        <v>270.95999999999998</v>
      </c>
      <c r="J703" s="6" t="s">
        <v>22</v>
      </c>
      <c r="K703" s="6" t="s">
        <v>21</v>
      </c>
      <c r="L703" s="6" t="s">
        <v>21</v>
      </c>
      <c r="M703" s="2">
        <f t="shared" si="10"/>
        <v>270.95999999999998</v>
      </c>
    </row>
    <row r="704" spans="1:13" x14ac:dyDescent="0.25">
      <c r="A704" s="6" t="s">
        <v>7</v>
      </c>
      <c r="B704" s="6" t="s">
        <v>440</v>
      </c>
      <c r="C704" s="6" t="s">
        <v>441</v>
      </c>
      <c r="D704" s="6" t="s">
        <v>446</v>
      </c>
      <c r="E704" s="6" t="s">
        <v>447</v>
      </c>
      <c r="F704" s="9">
        <v>45680</v>
      </c>
      <c r="G704" s="9">
        <v>45710</v>
      </c>
      <c r="H704" s="10">
        <v>6</v>
      </c>
      <c r="I704" s="11">
        <v>74.61</v>
      </c>
      <c r="J704" s="6" t="s">
        <v>22</v>
      </c>
      <c r="K704" s="6" t="s">
        <v>1645</v>
      </c>
      <c r="L704" s="6" t="s">
        <v>21</v>
      </c>
      <c r="M704" s="2">
        <f t="shared" si="10"/>
        <v>74.61</v>
      </c>
    </row>
    <row r="705" spans="1:13" x14ac:dyDescent="0.25">
      <c r="A705" s="6" t="s">
        <v>7</v>
      </c>
      <c r="B705" s="6" t="s">
        <v>440</v>
      </c>
      <c r="C705" s="6" t="s">
        <v>441</v>
      </c>
      <c r="D705" s="6" t="s">
        <v>448</v>
      </c>
      <c r="E705" s="6" t="s">
        <v>449</v>
      </c>
      <c r="F705" s="9">
        <v>45680</v>
      </c>
      <c r="G705" s="9">
        <v>45710</v>
      </c>
      <c r="H705" s="10">
        <v>6</v>
      </c>
      <c r="I705" s="11">
        <v>98.179999999999993</v>
      </c>
      <c r="J705" s="6" t="s">
        <v>22</v>
      </c>
      <c r="K705" s="6" t="s">
        <v>1645</v>
      </c>
      <c r="L705" s="6" t="s">
        <v>21</v>
      </c>
      <c r="M705" s="2">
        <f t="shared" si="10"/>
        <v>98.179999999999993</v>
      </c>
    </row>
    <row r="706" spans="1:13" x14ac:dyDescent="0.25">
      <c r="A706" s="6" t="s">
        <v>7</v>
      </c>
      <c r="B706" s="6" t="s">
        <v>440</v>
      </c>
      <c r="C706" s="6" t="s">
        <v>441</v>
      </c>
      <c r="D706" s="6" t="s">
        <v>450</v>
      </c>
      <c r="E706" s="6" t="s">
        <v>451</v>
      </c>
      <c r="F706" s="9">
        <v>45680</v>
      </c>
      <c r="G706" s="9">
        <v>45710</v>
      </c>
      <c r="H706" s="10">
        <v>6</v>
      </c>
      <c r="I706" s="11">
        <v>1286.0900000000001</v>
      </c>
      <c r="J706" s="6" t="s">
        <v>22</v>
      </c>
      <c r="K706" s="6" t="s">
        <v>1645</v>
      </c>
      <c r="L706" s="6" t="s">
        <v>21</v>
      </c>
      <c r="M706" s="2">
        <f t="shared" si="10"/>
        <v>1286.0900000000001</v>
      </c>
    </row>
    <row r="707" spans="1:13" x14ac:dyDescent="0.25">
      <c r="A707" s="6" t="s">
        <v>7</v>
      </c>
      <c r="B707" s="6" t="s">
        <v>440</v>
      </c>
      <c r="C707" s="6" t="s">
        <v>441</v>
      </c>
      <c r="D707" s="6" t="s">
        <v>452</v>
      </c>
      <c r="E707" s="6" t="s">
        <v>453</v>
      </c>
      <c r="F707" s="9">
        <v>45680</v>
      </c>
      <c r="G707" s="9">
        <v>45710</v>
      </c>
      <c r="H707" s="10">
        <v>6</v>
      </c>
      <c r="I707" s="11">
        <v>357.36</v>
      </c>
      <c r="J707" s="6" t="s">
        <v>22</v>
      </c>
      <c r="K707" s="6" t="s">
        <v>1645</v>
      </c>
      <c r="L707" s="6" t="s">
        <v>21</v>
      </c>
      <c r="M707" s="2">
        <f t="shared" ref="M707:M770" si="11">IF(H707&gt;0,I707,"")</f>
        <v>357.36</v>
      </c>
    </row>
    <row r="708" spans="1:13" x14ac:dyDescent="0.25">
      <c r="A708" s="6" t="s">
        <v>7</v>
      </c>
      <c r="B708" s="6" t="s">
        <v>440</v>
      </c>
      <c r="C708" s="6" t="s">
        <v>441</v>
      </c>
      <c r="D708" s="6" t="s">
        <v>454</v>
      </c>
      <c r="E708" s="6" t="s">
        <v>455</v>
      </c>
      <c r="F708" s="9">
        <v>45680</v>
      </c>
      <c r="G708" s="9">
        <v>45710</v>
      </c>
      <c r="H708" s="10">
        <v>6</v>
      </c>
      <c r="I708" s="11">
        <v>178.68</v>
      </c>
      <c r="J708" s="6" t="s">
        <v>22</v>
      </c>
      <c r="K708" s="6" t="s">
        <v>1645</v>
      </c>
      <c r="L708" s="6" t="s">
        <v>21</v>
      </c>
      <c r="M708" s="2">
        <f t="shared" si="11"/>
        <v>178.68</v>
      </c>
    </row>
    <row r="709" spans="1:13" x14ac:dyDescent="0.25">
      <c r="A709" s="6" t="s">
        <v>7</v>
      </c>
      <c r="B709" s="6" t="s">
        <v>440</v>
      </c>
      <c r="C709" s="6" t="s">
        <v>441</v>
      </c>
      <c r="D709" s="6" t="s">
        <v>1666</v>
      </c>
      <c r="E709" s="6" t="s">
        <v>1667</v>
      </c>
      <c r="F709" s="9">
        <v>45688</v>
      </c>
      <c r="G709" s="9">
        <v>45718</v>
      </c>
      <c r="H709" s="12">
        <v>-2</v>
      </c>
      <c r="I709" s="11">
        <v>4082.12</v>
      </c>
      <c r="J709" s="6" t="s">
        <v>22</v>
      </c>
      <c r="K709" s="6" t="s">
        <v>1645</v>
      </c>
      <c r="L709" s="6" t="s">
        <v>21</v>
      </c>
      <c r="M709" s="2" t="str">
        <f t="shared" si="11"/>
        <v/>
      </c>
    </row>
    <row r="710" spans="1:13" x14ac:dyDescent="0.25">
      <c r="A710" s="6" t="s">
        <v>7</v>
      </c>
      <c r="B710" s="6" t="s">
        <v>440</v>
      </c>
      <c r="C710" s="6" t="s">
        <v>441</v>
      </c>
      <c r="D710" s="6" t="s">
        <v>1668</v>
      </c>
      <c r="E710" s="6" t="s">
        <v>1669</v>
      </c>
      <c r="F710" s="9">
        <v>45698</v>
      </c>
      <c r="G710" s="9">
        <v>45728</v>
      </c>
      <c r="H710" s="12">
        <v>-12</v>
      </c>
      <c r="I710" s="11">
        <v>223.83999999999997</v>
      </c>
      <c r="J710" s="6" t="s">
        <v>22</v>
      </c>
      <c r="K710" s="6" t="s">
        <v>21</v>
      </c>
      <c r="L710" s="6" t="s">
        <v>21</v>
      </c>
      <c r="M710" s="2" t="str">
        <f t="shared" si="11"/>
        <v/>
      </c>
    </row>
    <row r="711" spans="1:13" x14ac:dyDescent="0.25">
      <c r="A711" s="6" t="s">
        <v>7</v>
      </c>
      <c r="B711" s="6" t="s">
        <v>440</v>
      </c>
      <c r="C711" s="6" t="s">
        <v>441</v>
      </c>
      <c r="D711" s="6" t="s">
        <v>1670</v>
      </c>
      <c r="E711" s="6" t="s">
        <v>1671</v>
      </c>
      <c r="F711" s="9">
        <v>45688</v>
      </c>
      <c r="G711" s="9">
        <v>45718</v>
      </c>
      <c r="H711" s="12">
        <v>-2</v>
      </c>
      <c r="I711" s="11">
        <v>465.35</v>
      </c>
      <c r="J711" s="6" t="s">
        <v>22</v>
      </c>
      <c r="K711" s="6" t="s">
        <v>1645</v>
      </c>
      <c r="L711" s="6" t="s">
        <v>21</v>
      </c>
      <c r="M711" s="2" t="str">
        <f t="shared" si="11"/>
        <v/>
      </c>
    </row>
    <row r="712" spans="1:13" x14ac:dyDescent="0.25">
      <c r="A712" s="6" t="s">
        <v>7</v>
      </c>
      <c r="B712" s="6" t="s">
        <v>440</v>
      </c>
      <c r="C712" s="6" t="s">
        <v>441</v>
      </c>
      <c r="D712" s="6" t="s">
        <v>1672</v>
      </c>
      <c r="E712" s="6" t="s">
        <v>1673</v>
      </c>
      <c r="F712" s="9">
        <v>45688</v>
      </c>
      <c r="G712" s="9">
        <v>45718</v>
      </c>
      <c r="H712" s="12">
        <v>-2</v>
      </c>
      <c r="I712" s="11">
        <v>1429.4299999999998</v>
      </c>
      <c r="J712" s="6" t="s">
        <v>22</v>
      </c>
      <c r="K712" s="6" t="s">
        <v>1645</v>
      </c>
      <c r="L712" s="6" t="s">
        <v>21</v>
      </c>
      <c r="M712" s="2" t="str">
        <f t="shared" si="11"/>
        <v/>
      </c>
    </row>
    <row r="713" spans="1:13" x14ac:dyDescent="0.25">
      <c r="A713" s="6" t="s">
        <v>7</v>
      </c>
      <c r="B713" s="6" t="s">
        <v>440</v>
      </c>
      <c r="C713" s="6" t="s">
        <v>441</v>
      </c>
      <c r="D713" s="6" t="s">
        <v>1674</v>
      </c>
      <c r="E713" s="6" t="s">
        <v>1675</v>
      </c>
      <c r="F713" s="9">
        <v>45688</v>
      </c>
      <c r="G713" s="9">
        <v>45718</v>
      </c>
      <c r="H713" s="12">
        <v>-2</v>
      </c>
      <c r="I713" s="11">
        <v>2322.8200000000002</v>
      </c>
      <c r="J713" s="6" t="s">
        <v>22</v>
      </c>
      <c r="K713" s="6" t="s">
        <v>1645</v>
      </c>
      <c r="L713" s="6" t="s">
        <v>21</v>
      </c>
      <c r="M713" s="2" t="str">
        <f t="shared" si="11"/>
        <v/>
      </c>
    </row>
    <row r="714" spans="1:13" x14ac:dyDescent="0.25">
      <c r="A714" s="6" t="s">
        <v>7</v>
      </c>
      <c r="B714" s="6" t="s">
        <v>440</v>
      </c>
      <c r="C714" s="6" t="s">
        <v>441</v>
      </c>
      <c r="D714" s="6" t="s">
        <v>1676</v>
      </c>
      <c r="E714" s="6" t="s">
        <v>1677</v>
      </c>
      <c r="F714" s="9">
        <v>45688</v>
      </c>
      <c r="G714" s="9">
        <v>45718</v>
      </c>
      <c r="H714" s="12">
        <v>-2</v>
      </c>
      <c r="I714" s="11">
        <v>72.91</v>
      </c>
      <c r="J714" s="6" t="s">
        <v>22</v>
      </c>
      <c r="K714" s="6" t="s">
        <v>1645</v>
      </c>
      <c r="L714" s="6" t="s">
        <v>21</v>
      </c>
      <c r="M714" s="2" t="str">
        <f t="shared" si="11"/>
        <v/>
      </c>
    </row>
    <row r="715" spans="1:13" x14ac:dyDescent="0.25">
      <c r="A715" s="6" t="s">
        <v>7</v>
      </c>
      <c r="B715" s="6" t="s">
        <v>440</v>
      </c>
      <c r="C715" s="6" t="s">
        <v>441</v>
      </c>
      <c r="D715" s="6" t="s">
        <v>456</v>
      </c>
      <c r="E715" s="6" t="s">
        <v>457</v>
      </c>
      <c r="F715" s="9">
        <v>45681</v>
      </c>
      <c r="G715" s="9">
        <v>45711</v>
      </c>
      <c r="H715" s="10">
        <v>5</v>
      </c>
      <c r="I715" s="11">
        <v>1124.55</v>
      </c>
      <c r="J715" s="6" t="s">
        <v>22</v>
      </c>
      <c r="K715" s="6" t="s">
        <v>1645</v>
      </c>
      <c r="L715" s="6" t="s">
        <v>21</v>
      </c>
      <c r="M715" s="2">
        <f t="shared" si="11"/>
        <v>1124.55</v>
      </c>
    </row>
    <row r="716" spans="1:13" x14ac:dyDescent="0.25">
      <c r="A716" s="6" t="s">
        <v>7</v>
      </c>
      <c r="B716" s="6" t="s">
        <v>440</v>
      </c>
      <c r="C716" s="6" t="s">
        <v>441</v>
      </c>
      <c r="D716" s="6" t="s">
        <v>658</v>
      </c>
      <c r="E716" s="6" t="s">
        <v>659</v>
      </c>
      <c r="F716" s="9">
        <v>45684</v>
      </c>
      <c r="G716" s="9">
        <v>45714</v>
      </c>
      <c r="H716" s="10">
        <v>2</v>
      </c>
      <c r="I716" s="11">
        <v>5971.9</v>
      </c>
      <c r="J716" s="6" t="s">
        <v>22</v>
      </c>
      <c r="K716" s="6" t="s">
        <v>1645</v>
      </c>
      <c r="L716" s="6" t="s">
        <v>21</v>
      </c>
      <c r="M716" s="2">
        <f t="shared" si="11"/>
        <v>5971.9</v>
      </c>
    </row>
    <row r="717" spans="1:13" x14ac:dyDescent="0.25">
      <c r="A717" s="6" t="s">
        <v>7</v>
      </c>
      <c r="B717" s="6" t="s">
        <v>440</v>
      </c>
      <c r="C717" s="6" t="s">
        <v>441</v>
      </c>
      <c r="D717" s="6" t="s">
        <v>660</v>
      </c>
      <c r="E717" s="6" t="s">
        <v>661</v>
      </c>
      <c r="F717" s="9">
        <v>45684</v>
      </c>
      <c r="G717" s="9">
        <v>45714</v>
      </c>
      <c r="H717" s="10">
        <v>2</v>
      </c>
      <c r="I717" s="11">
        <v>5210.03</v>
      </c>
      <c r="J717" s="6" t="s">
        <v>22</v>
      </c>
      <c r="K717" s="6" t="s">
        <v>1645</v>
      </c>
      <c r="L717" s="6" t="s">
        <v>21</v>
      </c>
      <c r="M717" s="2">
        <f t="shared" si="11"/>
        <v>5210.03</v>
      </c>
    </row>
    <row r="718" spans="1:13" x14ac:dyDescent="0.25">
      <c r="A718" s="6" t="s">
        <v>7</v>
      </c>
      <c r="B718" s="6" t="s">
        <v>440</v>
      </c>
      <c r="C718" s="6" t="s">
        <v>441</v>
      </c>
      <c r="D718" s="6" t="s">
        <v>1678</v>
      </c>
      <c r="E718" s="6" t="s">
        <v>1679</v>
      </c>
      <c r="F718" s="9">
        <v>45698</v>
      </c>
      <c r="G718" s="9">
        <v>45728</v>
      </c>
      <c r="H718" s="12">
        <v>-12</v>
      </c>
      <c r="I718" s="11">
        <v>5301.45</v>
      </c>
      <c r="J718" s="6" t="s">
        <v>22</v>
      </c>
      <c r="K718" s="6" t="s">
        <v>21</v>
      </c>
      <c r="L718" s="6" t="s">
        <v>21</v>
      </c>
      <c r="M718" s="2" t="str">
        <f t="shared" si="11"/>
        <v/>
      </c>
    </row>
    <row r="719" spans="1:13" x14ac:dyDescent="0.25">
      <c r="A719" s="6" t="s">
        <v>7</v>
      </c>
      <c r="B719" s="6" t="s">
        <v>440</v>
      </c>
      <c r="C719" s="6" t="s">
        <v>441</v>
      </c>
      <c r="D719" s="6" t="s">
        <v>1680</v>
      </c>
      <c r="E719" s="6" t="s">
        <v>1681</v>
      </c>
      <c r="F719" s="9">
        <v>45698</v>
      </c>
      <c r="G719" s="9">
        <v>45728</v>
      </c>
      <c r="H719" s="12">
        <v>-12</v>
      </c>
      <c r="I719" s="11">
        <v>1975.4</v>
      </c>
      <c r="J719" s="6" t="s">
        <v>22</v>
      </c>
      <c r="K719" s="6" t="s">
        <v>21</v>
      </c>
      <c r="L719" s="6" t="s">
        <v>21</v>
      </c>
      <c r="M719" s="2" t="str">
        <f t="shared" si="11"/>
        <v/>
      </c>
    </row>
    <row r="720" spans="1:13" x14ac:dyDescent="0.25">
      <c r="A720" s="6" t="s">
        <v>7</v>
      </c>
      <c r="B720" s="6" t="s">
        <v>440</v>
      </c>
      <c r="C720" s="6" t="s">
        <v>441</v>
      </c>
      <c r="D720" s="6" t="s">
        <v>1682</v>
      </c>
      <c r="E720" s="6" t="s">
        <v>1683</v>
      </c>
      <c r="F720" s="9">
        <v>45702</v>
      </c>
      <c r="G720" s="9">
        <v>45732</v>
      </c>
      <c r="H720" s="12">
        <v>-16</v>
      </c>
      <c r="I720" s="11">
        <v>981.75</v>
      </c>
      <c r="J720" s="6" t="s">
        <v>22</v>
      </c>
      <c r="K720" s="6" t="s">
        <v>21</v>
      </c>
      <c r="L720" s="6" t="s">
        <v>21</v>
      </c>
      <c r="M720" s="2" t="str">
        <f t="shared" si="11"/>
        <v/>
      </c>
    </row>
    <row r="721" spans="1:13" x14ac:dyDescent="0.25">
      <c r="A721" s="6" t="s">
        <v>7</v>
      </c>
      <c r="B721" s="6" t="s">
        <v>440</v>
      </c>
      <c r="C721" s="6" t="s">
        <v>441</v>
      </c>
      <c r="D721" s="6" t="s">
        <v>1684</v>
      </c>
      <c r="E721" s="6" t="s">
        <v>1685</v>
      </c>
      <c r="F721" s="9">
        <v>45702</v>
      </c>
      <c r="G721" s="9">
        <v>45732</v>
      </c>
      <c r="H721" s="12">
        <v>-16</v>
      </c>
      <c r="I721" s="11">
        <v>16964.64</v>
      </c>
      <c r="J721" s="6" t="s">
        <v>22</v>
      </c>
      <c r="K721" s="6" t="s">
        <v>21</v>
      </c>
      <c r="L721" s="6" t="s">
        <v>21</v>
      </c>
      <c r="M721" s="2" t="str">
        <f t="shared" si="11"/>
        <v/>
      </c>
    </row>
    <row r="722" spans="1:13" x14ac:dyDescent="0.25">
      <c r="A722" s="6" t="s">
        <v>7</v>
      </c>
      <c r="B722" s="6" t="s">
        <v>440</v>
      </c>
      <c r="C722" s="6" t="s">
        <v>441</v>
      </c>
      <c r="D722" s="6" t="s">
        <v>1686</v>
      </c>
      <c r="E722" s="6" t="s">
        <v>1687</v>
      </c>
      <c r="F722" s="9">
        <v>45702</v>
      </c>
      <c r="G722" s="9">
        <v>45732</v>
      </c>
      <c r="H722" s="12">
        <v>-16</v>
      </c>
      <c r="I722" s="11">
        <v>208.25</v>
      </c>
      <c r="J722" s="6" t="s">
        <v>22</v>
      </c>
      <c r="K722" s="6" t="s">
        <v>21</v>
      </c>
      <c r="L722" s="6" t="s">
        <v>21</v>
      </c>
      <c r="M722" s="2" t="str">
        <f t="shared" si="11"/>
        <v/>
      </c>
    </row>
    <row r="723" spans="1:13" x14ac:dyDescent="0.25">
      <c r="A723" s="6" t="s">
        <v>7</v>
      </c>
      <c r="B723" s="6" t="s">
        <v>440</v>
      </c>
      <c r="C723" s="6" t="s">
        <v>441</v>
      </c>
      <c r="D723" s="6" t="s">
        <v>1688</v>
      </c>
      <c r="E723" s="6" t="s">
        <v>1689</v>
      </c>
      <c r="F723" s="9">
        <v>45712</v>
      </c>
      <c r="G723" s="9">
        <v>45742</v>
      </c>
      <c r="H723" s="12">
        <v>-26</v>
      </c>
      <c r="I723" s="11">
        <v>1975.4</v>
      </c>
      <c r="J723" s="6" t="s">
        <v>22</v>
      </c>
      <c r="K723" s="6" t="s">
        <v>21</v>
      </c>
      <c r="L723" s="6" t="s">
        <v>21</v>
      </c>
      <c r="M723" s="2" t="str">
        <f t="shared" si="11"/>
        <v/>
      </c>
    </row>
    <row r="724" spans="1:13" x14ac:dyDescent="0.25">
      <c r="A724" s="6" t="s">
        <v>7</v>
      </c>
      <c r="B724" s="6" t="s">
        <v>440</v>
      </c>
      <c r="C724" s="6" t="s">
        <v>441</v>
      </c>
      <c r="D724" s="6" t="s">
        <v>1690</v>
      </c>
      <c r="E724" s="6" t="s">
        <v>1691</v>
      </c>
      <c r="F724" s="9">
        <v>45712</v>
      </c>
      <c r="G724" s="9">
        <v>45742</v>
      </c>
      <c r="H724" s="12">
        <v>-26</v>
      </c>
      <c r="I724" s="11">
        <v>3534.3</v>
      </c>
      <c r="J724" s="6" t="s">
        <v>22</v>
      </c>
      <c r="K724" s="6" t="s">
        <v>21</v>
      </c>
      <c r="L724" s="6" t="s">
        <v>21</v>
      </c>
      <c r="M724" s="2" t="str">
        <f t="shared" si="11"/>
        <v/>
      </c>
    </row>
    <row r="725" spans="1:13" x14ac:dyDescent="0.25">
      <c r="A725" s="6" t="s">
        <v>7</v>
      </c>
      <c r="B725" s="6" t="s">
        <v>440</v>
      </c>
      <c r="C725" s="6" t="s">
        <v>441</v>
      </c>
      <c r="D725" s="6" t="s">
        <v>1692</v>
      </c>
      <c r="E725" s="6" t="s">
        <v>1693</v>
      </c>
      <c r="F725" s="9">
        <v>45712</v>
      </c>
      <c r="G725" s="9">
        <v>45742</v>
      </c>
      <c r="H725" s="12">
        <v>-26</v>
      </c>
      <c r="I725" s="11">
        <v>1767.15</v>
      </c>
      <c r="J725" s="6" t="s">
        <v>22</v>
      </c>
      <c r="K725" s="6" t="s">
        <v>21</v>
      </c>
      <c r="L725" s="6" t="s">
        <v>21</v>
      </c>
      <c r="M725" s="2" t="str">
        <f t="shared" si="11"/>
        <v/>
      </c>
    </row>
    <row r="726" spans="1:13" x14ac:dyDescent="0.25">
      <c r="A726" s="6" t="s">
        <v>7</v>
      </c>
      <c r="B726" s="6" t="s">
        <v>440</v>
      </c>
      <c r="C726" s="6" t="s">
        <v>441</v>
      </c>
      <c r="D726" s="6" t="s">
        <v>1694</v>
      </c>
      <c r="E726" s="6" t="s">
        <v>1695</v>
      </c>
      <c r="F726" s="9">
        <v>45714</v>
      </c>
      <c r="G726" s="9">
        <v>45744</v>
      </c>
      <c r="H726" s="12">
        <v>-28</v>
      </c>
      <c r="I726" s="11">
        <v>3819.02</v>
      </c>
      <c r="J726" s="6" t="s">
        <v>22</v>
      </c>
      <c r="K726" s="6" t="s">
        <v>21</v>
      </c>
      <c r="L726" s="6" t="s">
        <v>21</v>
      </c>
      <c r="M726" s="2" t="str">
        <f t="shared" si="11"/>
        <v/>
      </c>
    </row>
    <row r="727" spans="1:13" x14ac:dyDescent="0.25">
      <c r="A727" s="6" t="s">
        <v>7</v>
      </c>
      <c r="B727" s="6" t="s">
        <v>440</v>
      </c>
      <c r="C727" s="6" t="s">
        <v>441</v>
      </c>
      <c r="D727" s="6" t="s">
        <v>1696</v>
      </c>
      <c r="E727" s="6" t="s">
        <v>1697</v>
      </c>
      <c r="F727" s="9">
        <v>45714</v>
      </c>
      <c r="G727" s="9">
        <v>45744</v>
      </c>
      <c r="H727" s="12">
        <v>-28</v>
      </c>
      <c r="I727" s="11">
        <v>7627.92</v>
      </c>
      <c r="J727" s="6" t="s">
        <v>22</v>
      </c>
      <c r="K727" s="6" t="s">
        <v>21</v>
      </c>
      <c r="L727" s="6" t="s">
        <v>21</v>
      </c>
      <c r="M727" s="2" t="str">
        <f t="shared" si="11"/>
        <v/>
      </c>
    </row>
    <row r="728" spans="1:13" x14ac:dyDescent="0.25">
      <c r="A728" s="6" t="s">
        <v>7</v>
      </c>
      <c r="B728" s="6" t="s">
        <v>1698</v>
      </c>
      <c r="C728" s="6" t="s">
        <v>277</v>
      </c>
      <c r="D728" s="6" t="s">
        <v>1699</v>
      </c>
      <c r="E728" s="6" t="s">
        <v>1700</v>
      </c>
      <c r="F728" s="9">
        <v>45693</v>
      </c>
      <c r="G728" s="9">
        <v>45693</v>
      </c>
      <c r="H728" s="10">
        <v>23</v>
      </c>
      <c r="I728" s="13">
        <v>-71535.03</v>
      </c>
      <c r="J728" s="6" t="s">
        <v>22</v>
      </c>
      <c r="K728" s="6" t="s">
        <v>21</v>
      </c>
      <c r="L728" s="6" t="s">
        <v>21</v>
      </c>
      <c r="M728" s="2">
        <f t="shared" si="11"/>
        <v>-71535.03</v>
      </c>
    </row>
    <row r="729" spans="1:13" x14ac:dyDescent="0.25">
      <c r="A729" s="6" t="s">
        <v>7</v>
      </c>
      <c r="B729" s="6" t="s">
        <v>458</v>
      </c>
      <c r="C729" s="6" t="s">
        <v>459</v>
      </c>
      <c r="D729" s="6" t="s">
        <v>1701</v>
      </c>
      <c r="E729" s="6" t="s">
        <v>1702</v>
      </c>
      <c r="F729" s="9">
        <v>45703</v>
      </c>
      <c r="G729" s="9">
        <v>45733</v>
      </c>
      <c r="H729" s="12">
        <v>-17</v>
      </c>
      <c r="I729" s="11">
        <v>117325.53</v>
      </c>
      <c r="J729" s="6" t="s">
        <v>22</v>
      </c>
      <c r="K729" s="6" t="s">
        <v>21</v>
      </c>
      <c r="L729" s="6" t="s">
        <v>21</v>
      </c>
      <c r="M729" s="2" t="str">
        <f t="shared" si="11"/>
        <v/>
      </c>
    </row>
    <row r="730" spans="1:13" x14ac:dyDescent="0.25">
      <c r="A730" s="6" t="s">
        <v>7</v>
      </c>
      <c r="B730" s="6" t="s">
        <v>460</v>
      </c>
      <c r="C730" s="6" t="s">
        <v>461</v>
      </c>
      <c r="D730" s="6" t="s">
        <v>1703</v>
      </c>
      <c r="E730" s="6" t="s">
        <v>1704</v>
      </c>
      <c r="F730" s="9">
        <v>45705</v>
      </c>
      <c r="G730" s="9">
        <v>45719</v>
      </c>
      <c r="H730" s="12">
        <v>-3</v>
      </c>
      <c r="I730" s="11">
        <v>71961.72</v>
      </c>
      <c r="J730" s="6" t="s">
        <v>22</v>
      </c>
      <c r="K730" s="6" t="s">
        <v>21</v>
      </c>
      <c r="L730" s="6" t="s">
        <v>21</v>
      </c>
      <c r="M730" s="2" t="str">
        <f t="shared" si="11"/>
        <v/>
      </c>
    </row>
    <row r="731" spans="1:13" x14ac:dyDescent="0.25">
      <c r="A731" s="6" t="s">
        <v>7</v>
      </c>
      <c r="B731" s="6" t="s">
        <v>460</v>
      </c>
      <c r="C731" s="6" t="s">
        <v>461</v>
      </c>
      <c r="D731" s="6" t="s">
        <v>1705</v>
      </c>
      <c r="E731" s="6" t="s">
        <v>1706</v>
      </c>
      <c r="F731" s="9">
        <v>45709</v>
      </c>
      <c r="G731" s="9">
        <v>45723</v>
      </c>
      <c r="H731" s="12">
        <v>-7</v>
      </c>
      <c r="I731" s="11">
        <v>106814.39999999999</v>
      </c>
      <c r="J731" s="6" t="s">
        <v>22</v>
      </c>
      <c r="K731" s="6" t="s">
        <v>21</v>
      </c>
      <c r="L731" s="6" t="s">
        <v>21</v>
      </c>
      <c r="M731" s="2" t="str">
        <f t="shared" si="11"/>
        <v/>
      </c>
    </row>
    <row r="732" spans="1:13" x14ac:dyDescent="0.25">
      <c r="A732" s="6" t="s">
        <v>7</v>
      </c>
      <c r="B732" s="6" t="s">
        <v>460</v>
      </c>
      <c r="C732" s="6" t="s">
        <v>461</v>
      </c>
      <c r="D732" s="6" t="s">
        <v>1707</v>
      </c>
      <c r="E732" s="6" t="s">
        <v>1708</v>
      </c>
      <c r="F732" s="9">
        <v>45693</v>
      </c>
      <c r="G732" s="9">
        <v>45707</v>
      </c>
      <c r="H732" s="10">
        <v>9</v>
      </c>
      <c r="I732" s="11">
        <v>238000</v>
      </c>
      <c r="J732" s="6" t="s">
        <v>22</v>
      </c>
      <c r="K732" s="6" t="s">
        <v>21</v>
      </c>
      <c r="L732" s="6" t="s">
        <v>21</v>
      </c>
      <c r="M732" s="2">
        <f t="shared" si="11"/>
        <v>238000</v>
      </c>
    </row>
    <row r="733" spans="1:13" x14ac:dyDescent="0.25">
      <c r="A733" s="6" t="s">
        <v>7</v>
      </c>
      <c r="B733" s="6" t="s">
        <v>460</v>
      </c>
      <c r="C733" s="6" t="s">
        <v>461</v>
      </c>
      <c r="D733" s="6" t="s">
        <v>1709</v>
      </c>
      <c r="E733" s="6" t="s">
        <v>1710</v>
      </c>
      <c r="F733" s="9">
        <v>45693</v>
      </c>
      <c r="G733" s="9">
        <v>45707</v>
      </c>
      <c r="H733" s="10">
        <v>9</v>
      </c>
      <c r="I733" s="11">
        <v>2197040.64</v>
      </c>
      <c r="J733" s="6" t="s">
        <v>22</v>
      </c>
      <c r="K733" s="6" t="s">
        <v>21</v>
      </c>
      <c r="L733" s="6" t="s">
        <v>21</v>
      </c>
      <c r="M733" s="2">
        <f t="shared" si="11"/>
        <v>2197040.64</v>
      </c>
    </row>
    <row r="734" spans="1:13" x14ac:dyDescent="0.25">
      <c r="A734" s="6" t="s">
        <v>7</v>
      </c>
      <c r="B734" s="6" t="s">
        <v>460</v>
      </c>
      <c r="C734" s="6" t="s">
        <v>461</v>
      </c>
      <c r="D734" s="6" t="s">
        <v>1711</v>
      </c>
      <c r="E734" s="6" t="s">
        <v>1712</v>
      </c>
      <c r="F734" s="9">
        <v>45715</v>
      </c>
      <c r="G734" s="9">
        <v>45745</v>
      </c>
      <c r="H734" s="12">
        <v>-29</v>
      </c>
      <c r="I734" s="11">
        <v>1999.2</v>
      </c>
      <c r="J734" s="6" t="s">
        <v>22</v>
      </c>
      <c r="K734" s="6" t="s">
        <v>1713</v>
      </c>
      <c r="L734" s="6" t="s">
        <v>21</v>
      </c>
      <c r="M734" s="2" t="str">
        <f t="shared" si="11"/>
        <v/>
      </c>
    </row>
    <row r="735" spans="1:13" x14ac:dyDescent="0.25">
      <c r="A735" s="6" t="s">
        <v>7</v>
      </c>
      <c r="B735" s="6" t="s">
        <v>460</v>
      </c>
      <c r="C735" s="6" t="s">
        <v>461</v>
      </c>
      <c r="D735" s="6" t="s">
        <v>1714</v>
      </c>
      <c r="E735" s="6" t="s">
        <v>1715</v>
      </c>
      <c r="F735" s="9">
        <v>45688</v>
      </c>
      <c r="G735" s="9">
        <v>45721</v>
      </c>
      <c r="H735" s="12">
        <v>-5</v>
      </c>
      <c r="I735" s="11">
        <v>6426</v>
      </c>
      <c r="J735" s="6" t="s">
        <v>22</v>
      </c>
      <c r="K735" s="6" t="s">
        <v>462</v>
      </c>
      <c r="L735" s="6" t="s">
        <v>21</v>
      </c>
      <c r="M735" s="2" t="str">
        <f t="shared" si="11"/>
        <v/>
      </c>
    </row>
    <row r="736" spans="1:13" x14ac:dyDescent="0.25">
      <c r="A736" s="6" t="s">
        <v>7</v>
      </c>
      <c r="B736" s="6" t="s">
        <v>460</v>
      </c>
      <c r="C736" s="6" t="s">
        <v>461</v>
      </c>
      <c r="D736" s="6" t="s">
        <v>1716</v>
      </c>
      <c r="E736" s="6" t="s">
        <v>1717</v>
      </c>
      <c r="F736" s="9">
        <v>45688</v>
      </c>
      <c r="G736" s="9">
        <v>45722</v>
      </c>
      <c r="H736" s="12">
        <v>-6</v>
      </c>
      <c r="I736" s="11">
        <v>1445.85</v>
      </c>
      <c r="J736" s="6" t="s">
        <v>22</v>
      </c>
      <c r="K736" s="6" t="s">
        <v>462</v>
      </c>
      <c r="L736" s="6" t="s">
        <v>21</v>
      </c>
      <c r="M736" s="2" t="str">
        <f t="shared" si="11"/>
        <v/>
      </c>
    </row>
    <row r="737" spans="1:13" x14ac:dyDescent="0.25">
      <c r="A737" s="6" t="s">
        <v>7</v>
      </c>
      <c r="B737" s="6" t="s">
        <v>463</v>
      </c>
      <c r="C737" s="6" t="s">
        <v>464</v>
      </c>
      <c r="D737" s="6" t="s">
        <v>465</v>
      </c>
      <c r="E737" s="6" t="s">
        <v>21</v>
      </c>
      <c r="F737" s="9">
        <v>45596</v>
      </c>
      <c r="G737" s="9">
        <v>45596</v>
      </c>
      <c r="H737" s="10">
        <v>120</v>
      </c>
      <c r="I737" s="13">
        <v>-21500.42</v>
      </c>
      <c r="J737" s="6" t="s">
        <v>22</v>
      </c>
      <c r="K737" s="6" t="s">
        <v>21</v>
      </c>
      <c r="L737" s="6" t="s">
        <v>21</v>
      </c>
      <c r="M737" s="2">
        <f t="shared" si="11"/>
        <v>-21500.42</v>
      </c>
    </row>
    <row r="738" spans="1:13" x14ac:dyDescent="0.25">
      <c r="A738" s="6" t="s">
        <v>7</v>
      </c>
      <c r="B738" s="6" t="s">
        <v>463</v>
      </c>
      <c r="C738" s="6" t="s">
        <v>464</v>
      </c>
      <c r="D738" s="6" t="s">
        <v>1718</v>
      </c>
      <c r="E738" s="6" t="s">
        <v>21</v>
      </c>
      <c r="F738" s="9">
        <v>45687</v>
      </c>
      <c r="G738" s="9">
        <v>45687</v>
      </c>
      <c r="H738" s="10">
        <v>29</v>
      </c>
      <c r="I738" s="13">
        <v>-109960.67</v>
      </c>
      <c r="J738" s="6" t="s">
        <v>22</v>
      </c>
      <c r="K738" s="6" t="s">
        <v>21</v>
      </c>
      <c r="L738" s="6" t="s">
        <v>21</v>
      </c>
      <c r="M738" s="2">
        <f t="shared" si="11"/>
        <v>-109960.67</v>
      </c>
    </row>
    <row r="739" spans="1:13" x14ac:dyDescent="0.25">
      <c r="A739" s="6" t="s">
        <v>7</v>
      </c>
      <c r="B739" s="6" t="s">
        <v>463</v>
      </c>
      <c r="C739" s="6" t="s">
        <v>464</v>
      </c>
      <c r="D739" s="6" t="s">
        <v>466</v>
      </c>
      <c r="E739" s="6" t="s">
        <v>21</v>
      </c>
      <c r="F739" s="9">
        <v>45610</v>
      </c>
      <c r="G739" s="9">
        <v>45610</v>
      </c>
      <c r="H739" s="10">
        <v>106</v>
      </c>
      <c r="I739" s="13">
        <v>-14346.64</v>
      </c>
      <c r="J739" s="6" t="s">
        <v>22</v>
      </c>
      <c r="K739" s="6" t="s">
        <v>21</v>
      </c>
      <c r="L739" s="6" t="s">
        <v>21</v>
      </c>
      <c r="M739" s="2">
        <f t="shared" si="11"/>
        <v>-14346.64</v>
      </c>
    </row>
    <row r="740" spans="1:13" x14ac:dyDescent="0.25">
      <c r="A740" s="6" t="s">
        <v>7</v>
      </c>
      <c r="B740" s="6" t="s">
        <v>463</v>
      </c>
      <c r="C740" s="6" t="s">
        <v>464</v>
      </c>
      <c r="D740" s="6" t="s">
        <v>1719</v>
      </c>
      <c r="E740" s="6" t="s">
        <v>21</v>
      </c>
      <c r="F740" s="9">
        <v>45694</v>
      </c>
      <c r="G740" s="9">
        <v>45694</v>
      </c>
      <c r="H740" s="10">
        <v>22</v>
      </c>
      <c r="I740" s="13">
        <v>-8371.89</v>
      </c>
      <c r="J740" s="6" t="s">
        <v>22</v>
      </c>
      <c r="K740" s="6" t="s">
        <v>21</v>
      </c>
      <c r="L740" s="6" t="s">
        <v>21</v>
      </c>
      <c r="M740" s="2">
        <f t="shared" si="11"/>
        <v>-8371.89</v>
      </c>
    </row>
    <row r="741" spans="1:13" x14ac:dyDescent="0.25">
      <c r="A741" s="6" t="s">
        <v>7</v>
      </c>
      <c r="B741" s="6" t="s">
        <v>463</v>
      </c>
      <c r="C741" s="6" t="s">
        <v>464</v>
      </c>
      <c r="D741" s="6" t="s">
        <v>467</v>
      </c>
      <c r="E741" s="6" t="s">
        <v>468</v>
      </c>
      <c r="F741" s="9">
        <v>45458</v>
      </c>
      <c r="G741" s="9">
        <v>45488</v>
      </c>
      <c r="H741" s="10">
        <v>228</v>
      </c>
      <c r="I741" s="11">
        <v>14346.64</v>
      </c>
      <c r="J741" s="6" t="s">
        <v>22</v>
      </c>
      <c r="K741" s="6" t="s">
        <v>469</v>
      </c>
      <c r="L741" s="6" t="s">
        <v>21</v>
      </c>
      <c r="M741" s="2">
        <f t="shared" si="11"/>
        <v>14346.64</v>
      </c>
    </row>
    <row r="742" spans="1:13" x14ac:dyDescent="0.25">
      <c r="A742" s="6" t="s">
        <v>7</v>
      </c>
      <c r="B742" s="6" t="s">
        <v>463</v>
      </c>
      <c r="C742" s="6" t="s">
        <v>464</v>
      </c>
      <c r="D742" s="6" t="s">
        <v>470</v>
      </c>
      <c r="E742" s="6" t="s">
        <v>471</v>
      </c>
      <c r="F742" s="9">
        <v>45623</v>
      </c>
      <c r="G742" s="9">
        <v>45637</v>
      </c>
      <c r="H742" s="10">
        <v>79</v>
      </c>
      <c r="I742" s="11">
        <v>1779.29</v>
      </c>
      <c r="J742" s="6" t="s">
        <v>22</v>
      </c>
      <c r="K742" s="6" t="s">
        <v>472</v>
      </c>
      <c r="L742" s="6" t="s">
        <v>21</v>
      </c>
      <c r="M742" s="2">
        <f t="shared" si="11"/>
        <v>1779.29</v>
      </c>
    </row>
    <row r="743" spans="1:13" x14ac:dyDescent="0.25">
      <c r="A743" s="6" t="s">
        <v>7</v>
      </c>
      <c r="B743" s="6" t="s">
        <v>463</v>
      </c>
      <c r="C743" s="6" t="s">
        <v>464</v>
      </c>
      <c r="D743" s="6" t="s">
        <v>473</v>
      </c>
      <c r="E743" s="6" t="s">
        <v>474</v>
      </c>
      <c r="F743" s="9">
        <v>45657</v>
      </c>
      <c r="G743" s="9">
        <v>45687</v>
      </c>
      <c r="H743" s="10">
        <v>29</v>
      </c>
      <c r="I743" s="11">
        <v>86584.58</v>
      </c>
      <c r="J743" s="6" t="s">
        <v>22</v>
      </c>
      <c r="K743" s="6" t="s">
        <v>21</v>
      </c>
      <c r="L743" s="6" t="s">
        <v>21</v>
      </c>
      <c r="M743" s="2">
        <f t="shared" si="11"/>
        <v>86584.58</v>
      </c>
    </row>
    <row r="744" spans="1:13" x14ac:dyDescent="0.25">
      <c r="A744" s="6" t="s">
        <v>7</v>
      </c>
      <c r="B744" s="6" t="s">
        <v>463</v>
      </c>
      <c r="C744" s="6" t="s">
        <v>464</v>
      </c>
      <c r="D744" s="6" t="s">
        <v>1720</v>
      </c>
      <c r="E744" s="6" t="s">
        <v>1721</v>
      </c>
      <c r="F744" s="9">
        <v>45695</v>
      </c>
      <c r="G744" s="9">
        <v>45709</v>
      </c>
      <c r="H744" s="10">
        <v>7</v>
      </c>
      <c r="I744" s="11">
        <v>3667.26</v>
      </c>
      <c r="J744" s="6" t="s">
        <v>22</v>
      </c>
      <c r="K744" s="6" t="s">
        <v>21</v>
      </c>
      <c r="L744" s="6" t="s">
        <v>21</v>
      </c>
      <c r="M744" s="2">
        <f t="shared" si="11"/>
        <v>3667.26</v>
      </c>
    </row>
    <row r="745" spans="1:13" x14ac:dyDescent="0.25">
      <c r="A745" s="6" t="s">
        <v>7</v>
      </c>
      <c r="B745" s="6" t="s">
        <v>463</v>
      </c>
      <c r="C745" s="6" t="s">
        <v>464</v>
      </c>
      <c r="D745" s="6" t="s">
        <v>1722</v>
      </c>
      <c r="E745" s="6" t="s">
        <v>1723</v>
      </c>
      <c r="F745" s="9">
        <v>45695</v>
      </c>
      <c r="G745" s="9">
        <v>45725</v>
      </c>
      <c r="H745" s="12">
        <v>-9</v>
      </c>
      <c r="I745" s="11">
        <v>120200.56</v>
      </c>
      <c r="J745" s="6" t="s">
        <v>22</v>
      </c>
      <c r="K745" s="6" t="s">
        <v>21</v>
      </c>
      <c r="L745" s="6" t="s">
        <v>21</v>
      </c>
      <c r="M745" s="2" t="str">
        <f t="shared" si="11"/>
        <v/>
      </c>
    </row>
    <row r="746" spans="1:13" x14ac:dyDescent="0.25">
      <c r="A746" s="6" t="s">
        <v>7</v>
      </c>
      <c r="B746" s="6" t="s">
        <v>463</v>
      </c>
      <c r="C746" s="6" t="s">
        <v>464</v>
      </c>
      <c r="D746" s="6" t="s">
        <v>475</v>
      </c>
      <c r="E746" s="6" t="s">
        <v>476</v>
      </c>
      <c r="F746" s="9">
        <v>45535</v>
      </c>
      <c r="G746" s="9">
        <v>45568</v>
      </c>
      <c r="H746" s="10">
        <v>148</v>
      </c>
      <c r="I746" s="11">
        <v>6804.57</v>
      </c>
      <c r="J746" s="6" t="s">
        <v>22</v>
      </c>
      <c r="K746" s="6" t="s">
        <v>477</v>
      </c>
      <c r="L746" s="6" t="s">
        <v>21</v>
      </c>
      <c r="M746" s="2">
        <f t="shared" si="11"/>
        <v>6804.57</v>
      </c>
    </row>
    <row r="747" spans="1:13" x14ac:dyDescent="0.25">
      <c r="A747" s="6" t="s">
        <v>7</v>
      </c>
      <c r="B747" s="6" t="s">
        <v>463</v>
      </c>
      <c r="C747" s="6" t="s">
        <v>464</v>
      </c>
      <c r="D747" s="6" t="s">
        <v>478</v>
      </c>
      <c r="E747" s="6" t="s">
        <v>479</v>
      </c>
      <c r="F747" s="9">
        <v>45563</v>
      </c>
      <c r="G747" s="9">
        <v>45577</v>
      </c>
      <c r="H747" s="10">
        <v>139</v>
      </c>
      <c r="I747" s="11">
        <v>1872.11</v>
      </c>
      <c r="J747" s="6" t="s">
        <v>22</v>
      </c>
      <c r="K747" s="6" t="s">
        <v>477</v>
      </c>
      <c r="L747" s="6" t="s">
        <v>21</v>
      </c>
      <c r="M747" s="2">
        <f t="shared" si="11"/>
        <v>1872.11</v>
      </c>
    </row>
    <row r="748" spans="1:13" x14ac:dyDescent="0.25">
      <c r="A748" s="6" t="s">
        <v>7</v>
      </c>
      <c r="B748" s="6" t="s">
        <v>463</v>
      </c>
      <c r="C748" s="6" t="s">
        <v>464</v>
      </c>
      <c r="D748" s="6" t="s">
        <v>480</v>
      </c>
      <c r="E748" s="6" t="s">
        <v>481</v>
      </c>
      <c r="F748" s="9">
        <v>45565</v>
      </c>
      <c r="G748" s="9">
        <v>45597</v>
      </c>
      <c r="H748" s="10">
        <v>119</v>
      </c>
      <c r="I748" s="11">
        <v>12823.74</v>
      </c>
      <c r="J748" s="6" t="s">
        <v>22</v>
      </c>
      <c r="K748" s="6" t="s">
        <v>477</v>
      </c>
      <c r="L748" s="6" t="s">
        <v>21</v>
      </c>
      <c r="M748" s="2">
        <f t="shared" si="11"/>
        <v>12823.74</v>
      </c>
    </row>
    <row r="749" spans="1:13" x14ac:dyDescent="0.25">
      <c r="A749" s="6" t="s">
        <v>7</v>
      </c>
      <c r="B749" s="6" t="s">
        <v>463</v>
      </c>
      <c r="C749" s="6" t="s">
        <v>464</v>
      </c>
      <c r="D749" s="6" t="s">
        <v>482</v>
      </c>
      <c r="E749" s="6" t="s">
        <v>483</v>
      </c>
      <c r="F749" s="9">
        <v>45657</v>
      </c>
      <c r="G749" s="9">
        <v>45690</v>
      </c>
      <c r="H749" s="10">
        <v>26</v>
      </c>
      <c r="I749" s="11">
        <v>4706.45</v>
      </c>
      <c r="J749" s="6" t="s">
        <v>22</v>
      </c>
      <c r="K749" s="6" t="s">
        <v>484</v>
      </c>
      <c r="L749" s="6" t="s">
        <v>21</v>
      </c>
      <c r="M749" s="2">
        <f t="shared" si="11"/>
        <v>4706.45</v>
      </c>
    </row>
    <row r="750" spans="1:13" x14ac:dyDescent="0.25">
      <c r="A750" s="6" t="s">
        <v>7</v>
      </c>
      <c r="B750" s="6" t="s">
        <v>463</v>
      </c>
      <c r="C750" s="6" t="s">
        <v>464</v>
      </c>
      <c r="D750" s="6" t="s">
        <v>485</v>
      </c>
      <c r="E750" s="6" t="s">
        <v>486</v>
      </c>
      <c r="F750" s="9">
        <v>45657</v>
      </c>
      <c r="G750" s="9">
        <v>45690</v>
      </c>
      <c r="H750" s="10">
        <v>26</v>
      </c>
      <c r="I750" s="11">
        <v>7395.85</v>
      </c>
      <c r="J750" s="6" t="s">
        <v>22</v>
      </c>
      <c r="K750" s="6" t="s">
        <v>484</v>
      </c>
      <c r="L750" s="6" t="s">
        <v>21</v>
      </c>
      <c r="M750" s="2">
        <f t="shared" si="11"/>
        <v>7395.85</v>
      </c>
    </row>
    <row r="751" spans="1:13" x14ac:dyDescent="0.25">
      <c r="A751" s="6" t="s">
        <v>7</v>
      </c>
      <c r="B751" s="6" t="s">
        <v>463</v>
      </c>
      <c r="C751" s="6" t="s">
        <v>464</v>
      </c>
      <c r="D751" s="6" t="s">
        <v>487</v>
      </c>
      <c r="E751" s="6" t="s">
        <v>488</v>
      </c>
      <c r="F751" s="9">
        <v>45657</v>
      </c>
      <c r="G751" s="9">
        <v>45690</v>
      </c>
      <c r="H751" s="10">
        <v>26</v>
      </c>
      <c r="I751" s="11">
        <v>6592.6</v>
      </c>
      <c r="J751" s="6" t="s">
        <v>22</v>
      </c>
      <c r="K751" s="6" t="s">
        <v>25</v>
      </c>
      <c r="L751" s="6" t="s">
        <v>21</v>
      </c>
      <c r="M751" s="2">
        <f t="shared" si="11"/>
        <v>6592.6</v>
      </c>
    </row>
    <row r="752" spans="1:13" x14ac:dyDescent="0.25">
      <c r="A752" s="6" t="s">
        <v>7</v>
      </c>
      <c r="B752" s="6" t="s">
        <v>463</v>
      </c>
      <c r="C752" s="6" t="s">
        <v>464</v>
      </c>
      <c r="D752" s="6" t="s">
        <v>489</v>
      </c>
      <c r="E752" s="6" t="s">
        <v>490</v>
      </c>
      <c r="F752" s="9">
        <v>45657</v>
      </c>
      <c r="G752" s="9">
        <v>45690</v>
      </c>
      <c r="H752" s="10">
        <v>26</v>
      </c>
      <c r="I752" s="11">
        <v>852.35</v>
      </c>
      <c r="J752" s="6" t="s">
        <v>22</v>
      </c>
      <c r="K752" s="6" t="s">
        <v>491</v>
      </c>
      <c r="L752" s="6" t="s">
        <v>21</v>
      </c>
      <c r="M752" s="2">
        <f t="shared" si="11"/>
        <v>852.35</v>
      </c>
    </row>
    <row r="753" spans="1:13" x14ac:dyDescent="0.25">
      <c r="A753" s="6" t="s">
        <v>7</v>
      </c>
      <c r="B753" s="6" t="s">
        <v>463</v>
      </c>
      <c r="C753" s="6" t="s">
        <v>464</v>
      </c>
      <c r="D753" s="6" t="s">
        <v>492</v>
      </c>
      <c r="E753" s="6" t="s">
        <v>493</v>
      </c>
      <c r="F753" s="9">
        <v>45657</v>
      </c>
      <c r="G753" s="9">
        <v>45690</v>
      </c>
      <c r="H753" s="10">
        <v>26</v>
      </c>
      <c r="I753" s="11">
        <v>994.4</v>
      </c>
      <c r="J753" s="6" t="s">
        <v>22</v>
      </c>
      <c r="K753" s="6" t="s">
        <v>491</v>
      </c>
      <c r="L753" s="6" t="s">
        <v>21</v>
      </c>
      <c r="M753" s="2">
        <f t="shared" si="11"/>
        <v>994.4</v>
      </c>
    </row>
    <row r="754" spans="1:13" x14ac:dyDescent="0.25">
      <c r="A754" s="6" t="s">
        <v>7</v>
      </c>
      <c r="B754" s="6" t="s">
        <v>463</v>
      </c>
      <c r="C754" s="6" t="s">
        <v>464</v>
      </c>
      <c r="D754" s="6" t="s">
        <v>494</v>
      </c>
      <c r="E754" s="6" t="s">
        <v>495</v>
      </c>
      <c r="F754" s="9">
        <v>45657</v>
      </c>
      <c r="G754" s="9">
        <v>45690</v>
      </c>
      <c r="H754" s="10">
        <v>26</v>
      </c>
      <c r="I754" s="11">
        <v>9427.0400000000009</v>
      </c>
      <c r="J754" s="6" t="s">
        <v>22</v>
      </c>
      <c r="K754" s="6" t="s">
        <v>496</v>
      </c>
      <c r="L754" s="6" t="s">
        <v>21</v>
      </c>
      <c r="M754" s="2">
        <f t="shared" si="11"/>
        <v>9427.0400000000009</v>
      </c>
    </row>
    <row r="755" spans="1:13" x14ac:dyDescent="0.25">
      <c r="A755" s="6" t="s">
        <v>7</v>
      </c>
      <c r="B755" s="6" t="s">
        <v>497</v>
      </c>
      <c r="C755" s="6" t="s">
        <v>498</v>
      </c>
      <c r="D755" s="6" t="s">
        <v>499</v>
      </c>
      <c r="E755" s="6" t="s">
        <v>21</v>
      </c>
      <c r="F755" s="9">
        <v>45594</v>
      </c>
      <c r="G755" s="9">
        <v>45594</v>
      </c>
      <c r="H755" s="10">
        <v>122</v>
      </c>
      <c r="I755" s="13">
        <v>-1504962.3</v>
      </c>
      <c r="J755" s="6" t="s">
        <v>22</v>
      </c>
      <c r="K755" s="6" t="s">
        <v>21</v>
      </c>
      <c r="L755" s="6" t="s">
        <v>21</v>
      </c>
      <c r="M755" s="2">
        <f t="shared" si="11"/>
        <v>-1504962.3</v>
      </c>
    </row>
    <row r="756" spans="1:13" x14ac:dyDescent="0.25">
      <c r="A756" s="6" t="s">
        <v>7</v>
      </c>
      <c r="B756" s="6" t="s">
        <v>500</v>
      </c>
      <c r="C756" s="6" t="s">
        <v>501</v>
      </c>
      <c r="D756" s="6" t="s">
        <v>1724</v>
      </c>
      <c r="E756" s="6" t="s">
        <v>1725</v>
      </c>
      <c r="F756" s="9">
        <v>45706</v>
      </c>
      <c r="G756" s="9">
        <v>45720</v>
      </c>
      <c r="H756" s="12">
        <v>-4</v>
      </c>
      <c r="I756" s="11">
        <v>6488.7</v>
      </c>
      <c r="J756" s="6" t="s">
        <v>22</v>
      </c>
      <c r="K756" s="6" t="s">
        <v>21</v>
      </c>
      <c r="L756" s="6" t="s">
        <v>21</v>
      </c>
      <c r="M756" s="2" t="str">
        <f t="shared" si="11"/>
        <v/>
      </c>
    </row>
    <row r="757" spans="1:13" x14ac:dyDescent="0.25">
      <c r="A757" s="6" t="s">
        <v>7</v>
      </c>
      <c r="B757" s="6" t="s">
        <v>500</v>
      </c>
      <c r="C757" s="6" t="s">
        <v>501</v>
      </c>
      <c r="D757" s="6" t="s">
        <v>1726</v>
      </c>
      <c r="E757" s="6" t="s">
        <v>1727</v>
      </c>
      <c r="F757" s="9">
        <v>45706</v>
      </c>
      <c r="G757" s="9">
        <v>45720</v>
      </c>
      <c r="H757" s="12">
        <v>-4</v>
      </c>
      <c r="I757" s="11">
        <v>5712</v>
      </c>
      <c r="J757" s="6" t="s">
        <v>22</v>
      </c>
      <c r="K757" s="6" t="s">
        <v>21</v>
      </c>
      <c r="L757" s="6" t="s">
        <v>21</v>
      </c>
      <c r="M757" s="2" t="str">
        <f t="shared" si="11"/>
        <v/>
      </c>
    </row>
    <row r="758" spans="1:13" x14ac:dyDescent="0.25">
      <c r="A758" s="6" t="s">
        <v>7</v>
      </c>
      <c r="B758" s="6" t="s">
        <v>500</v>
      </c>
      <c r="C758" s="6" t="s">
        <v>501</v>
      </c>
      <c r="D758" s="6" t="s">
        <v>502</v>
      </c>
      <c r="E758" s="6" t="s">
        <v>503</v>
      </c>
      <c r="F758" s="9">
        <v>45680</v>
      </c>
      <c r="G758" s="9">
        <v>45710</v>
      </c>
      <c r="H758" s="10">
        <v>6</v>
      </c>
      <c r="I758" s="11">
        <v>276675.01</v>
      </c>
      <c r="J758" s="6" t="s">
        <v>22</v>
      </c>
      <c r="K758" s="6" t="s">
        <v>21</v>
      </c>
      <c r="L758" s="6" t="s">
        <v>21</v>
      </c>
      <c r="M758" s="2">
        <f t="shared" si="11"/>
        <v>276675.01</v>
      </c>
    </row>
    <row r="759" spans="1:13" x14ac:dyDescent="0.25">
      <c r="A759" s="6" t="s">
        <v>7</v>
      </c>
      <c r="B759" s="6" t="s">
        <v>500</v>
      </c>
      <c r="C759" s="6" t="s">
        <v>501</v>
      </c>
      <c r="D759" s="6" t="s">
        <v>504</v>
      </c>
      <c r="E759" s="6" t="s">
        <v>505</v>
      </c>
      <c r="F759" s="9">
        <v>45680</v>
      </c>
      <c r="G759" s="9">
        <v>45694</v>
      </c>
      <c r="H759" s="10">
        <v>22</v>
      </c>
      <c r="I759" s="11">
        <v>1963.17</v>
      </c>
      <c r="J759" s="6" t="s">
        <v>22</v>
      </c>
      <c r="K759" s="6" t="s">
        <v>21</v>
      </c>
      <c r="L759" s="6" t="s">
        <v>21</v>
      </c>
      <c r="M759" s="2">
        <f t="shared" si="11"/>
        <v>1963.17</v>
      </c>
    </row>
    <row r="760" spans="1:13" x14ac:dyDescent="0.25">
      <c r="A760" s="6" t="s">
        <v>7</v>
      </c>
      <c r="B760" s="6" t="s">
        <v>500</v>
      </c>
      <c r="C760" s="6" t="s">
        <v>501</v>
      </c>
      <c r="D760" s="6" t="s">
        <v>1728</v>
      </c>
      <c r="E760" s="6" t="s">
        <v>1729</v>
      </c>
      <c r="F760" s="9">
        <v>45688</v>
      </c>
      <c r="G760" s="9">
        <v>45721</v>
      </c>
      <c r="H760" s="12">
        <v>-5</v>
      </c>
      <c r="I760" s="11">
        <v>49147</v>
      </c>
      <c r="J760" s="6" t="s">
        <v>22</v>
      </c>
      <c r="K760" s="6" t="s">
        <v>1730</v>
      </c>
      <c r="L760" s="6" t="s">
        <v>21</v>
      </c>
      <c r="M760" s="2" t="str">
        <f t="shared" si="11"/>
        <v/>
      </c>
    </row>
    <row r="761" spans="1:13" x14ac:dyDescent="0.25">
      <c r="A761" s="6" t="s">
        <v>7</v>
      </c>
      <c r="B761" s="6" t="s">
        <v>506</v>
      </c>
      <c r="C761" s="6" t="s">
        <v>318</v>
      </c>
      <c r="D761" s="6" t="s">
        <v>507</v>
      </c>
      <c r="E761" s="6" t="s">
        <v>508</v>
      </c>
      <c r="F761" s="9">
        <v>45662</v>
      </c>
      <c r="G761" s="9">
        <v>45692</v>
      </c>
      <c r="H761" s="10">
        <v>24</v>
      </c>
      <c r="I761" s="11">
        <v>4700.5</v>
      </c>
      <c r="J761" s="6" t="s">
        <v>22</v>
      </c>
      <c r="K761" s="6" t="s">
        <v>21</v>
      </c>
      <c r="L761" s="6" t="s">
        <v>21</v>
      </c>
      <c r="M761" s="2">
        <f t="shared" si="11"/>
        <v>4700.5</v>
      </c>
    </row>
    <row r="762" spans="1:13" x14ac:dyDescent="0.25">
      <c r="A762" s="6" t="s">
        <v>7</v>
      </c>
      <c r="B762" s="6" t="s">
        <v>506</v>
      </c>
      <c r="C762" s="6" t="s">
        <v>318</v>
      </c>
      <c r="D762" s="6" t="s">
        <v>509</v>
      </c>
      <c r="E762" s="6" t="s">
        <v>510</v>
      </c>
      <c r="F762" s="9">
        <v>45467</v>
      </c>
      <c r="G762" s="9">
        <v>45497</v>
      </c>
      <c r="H762" s="10">
        <v>219</v>
      </c>
      <c r="I762" s="13">
        <v>-654.5</v>
      </c>
      <c r="J762" s="6" t="s">
        <v>22</v>
      </c>
      <c r="K762" s="6" t="s">
        <v>511</v>
      </c>
      <c r="L762" s="6" t="s">
        <v>21</v>
      </c>
      <c r="M762" s="2">
        <f t="shared" si="11"/>
        <v>-654.5</v>
      </c>
    </row>
    <row r="763" spans="1:13" x14ac:dyDescent="0.25">
      <c r="A763" s="6" t="s">
        <v>7</v>
      </c>
      <c r="B763" s="6" t="s">
        <v>506</v>
      </c>
      <c r="C763" s="6" t="s">
        <v>318</v>
      </c>
      <c r="D763" s="6" t="s">
        <v>512</v>
      </c>
      <c r="E763" s="6" t="s">
        <v>513</v>
      </c>
      <c r="F763" s="9">
        <v>45595</v>
      </c>
      <c r="G763" s="9">
        <v>45609</v>
      </c>
      <c r="H763" s="10">
        <v>107</v>
      </c>
      <c r="I763" s="11">
        <v>9996</v>
      </c>
      <c r="J763" s="6" t="s">
        <v>22</v>
      </c>
      <c r="K763" s="6" t="s">
        <v>514</v>
      </c>
      <c r="L763" s="6" t="s">
        <v>21</v>
      </c>
      <c r="M763" s="2">
        <f t="shared" si="11"/>
        <v>9996</v>
      </c>
    </row>
    <row r="764" spans="1:13" x14ac:dyDescent="0.25">
      <c r="A764" s="6" t="s">
        <v>7</v>
      </c>
      <c r="B764" s="6" t="s">
        <v>506</v>
      </c>
      <c r="C764" s="6" t="s">
        <v>318</v>
      </c>
      <c r="D764" s="6" t="s">
        <v>515</v>
      </c>
      <c r="E764" s="6" t="s">
        <v>516</v>
      </c>
      <c r="F764" s="9">
        <v>45672</v>
      </c>
      <c r="G764" s="9">
        <v>45686</v>
      </c>
      <c r="H764" s="10">
        <v>30</v>
      </c>
      <c r="I764" s="11">
        <v>32844</v>
      </c>
      <c r="J764" s="6" t="s">
        <v>22</v>
      </c>
      <c r="K764" s="6" t="s">
        <v>517</v>
      </c>
      <c r="L764" s="6" t="s">
        <v>21</v>
      </c>
      <c r="M764" s="2">
        <f t="shared" si="11"/>
        <v>32844</v>
      </c>
    </row>
    <row r="765" spans="1:13" x14ac:dyDescent="0.25">
      <c r="A765" s="6" t="s">
        <v>7</v>
      </c>
      <c r="B765" s="6" t="s">
        <v>518</v>
      </c>
      <c r="C765" s="6" t="s">
        <v>519</v>
      </c>
      <c r="D765" s="6" t="s">
        <v>520</v>
      </c>
      <c r="E765" s="6" t="s">
        <v>521</v>
      </c>
      <c r="F765" s="9">
        <v>45622</v>
      </c>
      <c r="G765" s="9">
        <v>45636</v>
      </c>
      <c r="H765" s="10">
        <v>80</v>
      </c>
      <c r="I765" s="11">
        <v>2998.8</v>
      </c>
      <c r="J765" s="6" t="s">
        <v>22</v>
      </c>
      <c r="K765" s="6" t="s">
        <v>522</v>
      </c>
      <c r="L765" s="6" t="s">
        <v>21</v>
      </c>
      <c r="M765" s="2">
        <f t="shared" si="11"/>
        <v>2998.8</v>
      </c>
    </row>
    <row r="766" spans="1:13" x14ac:dyDescent="0.25">
      <c r="A766" s="6" t="s">
        <v>7</v>
      </c>
      <c r="B766" s="6" t="s">
        <v>518</v>
      </c>
      <c r="C766" s="6" t="s">
        <v>519</v>
      </c>
      <c r="D766" s="6" t="s">
        <v>523</v>
      </c>
      <c r="E766" s="6" t="s">
        <v>524</v>
      </c>
      <c r="F766" s="9">
        <v>45622</v>
      </c>
      <c r="G766" s="9">
        <v>45636</v>
      </c>
      <c r="H766" s="10">
        <v>80</v>
      </c>
      <c r="I766" s="11">
        <v>2998.8</v>
      </c>
      <c r="J766" s="6" t="s">
        <v>22</v>
      </c>
      <c r="K766" s="6" t="s">
        <v>525</v>
      </c>
      <c r="L766" s="6" t="s">
        <v>21</v>
      </c>
      <c r="M766" s="2">
        <f t="shared" si="11"/>
        <v>2998.8</v>
      </c>
    </row>
    <row r="767" spans="1:13" x14ac:dyDescent="0.25">
      <c r="A767" s="6" t="s">
        <v>7</v>
      </c>
      <c r="B767" s="6" t="s">
        <v>518</v>
      </c>
      <c r="C767" s="6" t="s">
        <v>519</v>
      </c>
      <c r="D767" s="6" t="s">
        <v>1731</v>
      </c>
      <c r="E767" s="6" t="s">
        <v>1732</v>
      </c>
      <c r="F767" s="9">
        <v>45698</v>
      </c>
      <c r="G767" s="9">
        <v>45728</v>
      </c>
      <c r="H767" s="12">
        <v>-12</v>
      </c>
      <c r="I767" s="11">
        <v>964257</v>
      </c>
      <c r="J767" s="6" t="s">
        <v>22</v>
      </c>
      <c r="K767" s="6" t="s">
        <v>21</v>
      </c>
      <c r="L767" s="6" t="s">
        <v>21</v>
      </c>
      <c r="M767" s="2" t="str">
        <f t="shared" si="11"/>
        <v/>
      </c>
    </row>
    <row r="768" spans="1:13" x14ac:dyDescent="0.25">
      <c r="A768" s="6" t="s">
        <v>7</v>
      </c>
      <c r="B768" s="6" t="s">
        <v>526</v>
      </c>
      <c r="C768" s="6" t="s">
        <v>527</v>
      </c>
      <c r="D768" s="6" t="s">
        <v>1733</v>
      </c>
      <c r="E768" s="6" t="s">
        <v>1734</v>
      </c>
      <c r="F768" s="9">
        <v>45709</v>
      </c>
      <c r="G768" s="9">
        <v>45723</v>
      </c>
      <c r="H768" s="12">
        <v>-7</v>
      </c>
      <c r="I768" s="11">
        <v>14.84</v>
      </c>
      <c r="J768" s="6" t="s">
        <v>22</v>
      </c>
      <c r="K768" s="6" t="s">
        <v>21</v>
      </c>
      <c r="L768" s="6" t="s">
        <v>21</v>
      </c>
      <c r="M768" s="2" t="str">
        <f t="shared" si="11"/>
        <v/>
      </c>
    </row>
    <row r="769" spans="1:13" x14ac:dyDescent="0.25">
      <c r="A769" s="6" t="s">
        <v>7</v>
      </c>
      <c r="B769" s="6" t="s">
        <v>528</v>
      </c>
      <c r="C769" s="6" t="s">
        <v>529</v>
      </c>
      <c r="D769" s="6" t="s">
        <v>530</v>
      </c>
      <c r="E769" s="6" t="s">
        <v>21</v>
      </c>
      <c r="F769" s="9">
        <v>45232</v>
      </c>
      <c r="G769" s="9">
        <v>45232</v>
      </c>
      <c r="H769" s="10">
        <v>484</v>
      </c>
      <c r="I769" s="13">
        <v>-86054.45</v>
      </c>
      <c r="J769" s="6" t="s">
        <v>22</v>
      </c>
      <c r="K769" s="6" t="s">
        <v>21</v>
      </c>
      <c r="L769" s="6" t="s">
        <v>21</v>
      </c>
      <c r="M769" s="2">
        <f t="shared" si="11"/>
        <v>-86054.45</v>
      </c>
    </row>
    <row r="770" spans="1:13" x14ac:dyDescent="0.25">
      <c r="A770" s="6" t="s">
        <v>7</v>
      </c>
      <c r="B770" s="6" t="s">
        <v>528</v>
      </c>
      <c r="C770" s="6" t="s">
        <v>529</v>
      </c>
      <c r="D770" s="6" t="s">
        <v>662</v>
      </c>
      <c r="E770" s="6" t="s">
        <v>663</v>
      </c>
      <c r="F770" s="9">
        <v>45685</v>
      </c>
      <c r="G770" s="9">
        <v>45715</v>
      </c>
      <c r="H770" s="10">
        <v>1</v>
      </c>
      <c r="I770" s="11">
        <v>3131.75</v>
      </c>
      <c r="J770" s="6" t="s">
        <v>22</v>
      </c>
      <c r="K770" s="6" t="s">
        <v>21</v>
      </c>
      <c r="L770" s="6" t="s">
        <v>21</v>
      </c>
      <c r="M770" s="2">
        <f t="shared" si="11"/>
        <v>3131.75</v>
      </c>
    </row>
    <row r="771" spans="1:13" x14ac:dyDescent="0.25">
      <c r="A771" s="6" t="s">
        <v>7</v>
      </c>
      <c r="B771" s="6" t="s">
        <v>528</v>
      </c>
      <c r="C771" s="6" t="s">
        <v>529</v>
      </c>
      <c r="D771" s="6" t="s">
        <v>1735</v>
      </c>
      <c r="E771" s="6" t="s">
        <v>1736</v>
      </c>
      <c r="F771" s="9">
        <v>45709</v>
      </c>
      <c r="G771" s="9">
        <v>45739</v>
      </c>
      <c r="H771" s="12">
        <v>-23</v>
      </c>
      <c r="I771" s="11">
        <v>3125.04</v>
      </c>
      <c r="J771" s="6" t="s">
        <v>22</v>
      </c>
      <c r="K771" s="6" t="s">
        <v>21</v>
      </c>
      <c r="L771" s="6" t="s">
        <v>21</v>
      </c>
      <c r="M771" s="2" t="str">
        <f t="shared" ref="M771:M834" si="12">IF(H771&gt;0,I771,"")</f>
        <v/>
      </c>
    </row>
    <row r="772" spans="1:13" x14ac:dyDescent="0.25">
      <c r="A772" s="6" t="s">
        <v>7</v>
      </c>
      <c r="B772" s="6" t="s">
        <v>528</v>
      </c>
      <c r="C772" s="6" t="s">
        <v>529</v>
      </c>
      <c r="D772" s="6" t="s">
        <v>531</v>
      </c>
      <c r="E772" s="6" t="s">
        <v>532</v>
      </c>
      <c r="F772" s="9">
        <v>45642</v>
      </c>
      <c r="G772" s="9">
        <v>45672</v>
      </c>
      <c r="H772" s="10">
        <v>44</v>
      </c>
      <c r="I772" s="11">
        <v>1818.68</v>
      </c>
      <c r="J772" s="6" t="s">
        <v>22</v>
      </c>
      <c r="K772" s="6" t="s">
        <v>21</v>
      </c>
      <c r="L772" s="6" t="s">
        <v>21</v>
      </c>
      <c r="M772" s="2">
        <f t="shared" si="12"/>
        <v>1818.68</v>
      </c>
    </row>
    <row r="773" spans="1:13" x14ac:dyDescent="0.25">
      <c r="A773" s="6" t="s">
        <v>7</v>
      </c>
      <c r="B773" s="6" t="s">
        <v>528</v>
      </c>
      <c r="C773" s="6" t="s">
        <v>529</v>
      </c>
      <c r="D773" s="6" t="s">
        <v>533</v>
      </c>
      <c r="E773" s="6" t="s">
        <v>534</v>
      </c>
      <c r="F773" s="9">
        <v>44865</v>
      </c>
      <c r="G773" s="9">
        <v>44898</v>
      </c>
      <c r="H773" s="10">
        <v>818</v>
      </c>
      <c r="I773" s="11">
        <v>2565.0700000000002</v>
      </c>
      <c r="J773" s="6" t="s">
        <v>22</v>
      </c>
      <c r="K773" s="6" t="s">
        <v>535</v>
      </c>
      <c r="L773" s="6" t="s">
        <v>21</v>
      </c>
      <c r="M773" s="2">
        <f t="shared" si="12"/>
        <v>2565.0700000000002</v>
      </c>
    </row>
    <row r="774" spans="1:13" x14ac:dyDescent="0.25">
      <c r="A774" s="6" t="s">
        <v>7</v>
      </c>
      <c r="B774" s="6" t="s">
        <v>528</v>
      </c>
      <c r="C774" s="6" t="s">
        <v>529</v>
      </c>
      <c r="D774" s="6" t="s">
        <v>1737</v>
      </c>
      <c r="E774" s="6" t="s">
        <v>1738</v>
      </c>
      <c r="F774" s="9">
        <v>45695</v>
      </c>
      <c r="G774" s="9">
        <v>45725</v>
      </c>
      <c r="H774" s="12">
        <v>-9</v>
      </c>
      <c r="I774" s="11">
        <v>135044.07</v>
      </c>
      <c r="J774" s="6" t="s">
        <v>22</v>
      </c>
      <c r="K774" s="6" t="s">
        <v>21</v>
      </c>
      <c r="L774" s="6" t="s">
        <v>21</v>
      </c>
      <c r="M774" s="2" t="str">
        <f t="shared" si="12"/>
        <v/>
      </c>
    </row>
    <row r="775" spans="1:13" x14ac:dyDescent="0.25">
      <c r="A775" s="6" t="s">
        <v>7</v>
      </c>
      <c r="B775" s="6" t="s">
        <v>528</v>
      </c>
      <c r="C775" s="6" t="s">
        <v>529</v>
      </c>
      <c r="D775" s="6" t="s">
        <v>1739</v>
      </c>
      <c r="E775" s="6" t="s">
        <v>1740</v>
      </c>
      <c r="F775" s="9">
        <v>45695</v>
      </c>
      <c r="G775" s="9">
        <v>45725</v>
      </c>
      <c r="H775" s="12">
        <v>-9</v>
      </c>
      <c r="I775" s="11">
        <v>1381558.44</v>
      </c>
      <c r="J775" s="6" t="s">
        <v>22</v>
      </c>
      <c r="K775" s="6" t="s">
        <v>21</v>
      </c>
      <c r="L775" s="6" t="s">
        <v>21</v>
      </c>
      <c r="M775" s="2" t="str">
        <f t="shared" si="12"/>
        <v/>
      </c>
    </row>
    <row r="776" spans="1:13" x14ac:dyDescent="0.25">
      <c r="A776" s="6" t="s">
        <v>7</v>
      </c>
      <c r="B776" s="6" t="s">
        <v>528</v>
      </c>
      <c r="C776" s="6" t="s">
        <v>529</v>
      </c>
      <c r="D776" s="6" t="s">
        <v>1741</v>
      </c>
      <c r="E776" s="6" t="s">
        <v>1742</v>
      </c>
      <c r="F776" s="9">
        <v>45695</v>
      </c>
      <c r="G776" s="9">
        <v>45725</v>
      </c>
      <c r="H776" s="12">
        <v>-9</v>
      </c>
      <c r="I776" s="11">
        <v>721.71</v>
      </c>
      <c r="J776" s="6" t="s">
        <v>22</v>
      </c>
      <c r="K776" s="6" t="s">
        <v>21</v>
      </c>
      <c r="L776" s="6" t="s">
        <v>21</v>
      </c>
      <c r="M776" s="2" t="str">
        <f t="shared" si="12"/>
        <v/>
      </c>
    </row>
    <row r="777" spans="1:13" x14ac:dyDescent="0.25">
      <c r="A777" s="6" t="s">
        <v>7</v>
      </c>
      <c r="B777" s="6" t="s">
        <v>528</v>
      </c>
      <c r="C777" s="6" t="s">
        <v>529</v>
      </c>
      <c r="D777" s="6" t="s">
        <v>1743</v>
      </c>
      <c r="E777" s="6" t="s">
        <v>1744</v>
      </c>
      <c r="F777" s="9">
        <v>45695</v>
      </c>
      <c r="G777" s="9">
        <v>45725</v>
      </c>
      <c r="H777" s="12">
        <v>-9</v>
      </c>
      <c r="I777" s="11">
        <v>14272.11</v>
      </c>
      <c r="J777" s="6" t="s">
        <v>22</v>
      </c>
      <c r="K777" s="6" t="s">
        <v>21</v>
      </c>
      <c r="L777" s="6" t="s">
        <v>21</v>
      </c>
      <c r="M777" s="2" t="str">
        <f t="shared" si="12"/>
        <v/>
      </c>
    </row>
    <row r="778" spans="1:13" x14ac:dyDescent="0.25">
      <c r="A778" s="6" t="s">
        <v>7</v>
      </c>
      <c r="B778" s="6" t="s">
        <v>528</v>
      </c>
      <c r="C778" s="6" t="s">
        <v>529</v>
      </c>
      <c r="D778" s="6" t="s">
        <v>1745</v>
      </c>
      <c r="E778" s="6" t="s">
        <v>1746</v>
      </c>
      <c r="F778" s="9">
        <v>45695</v>
      </c>
      <c r="G778" s="9">
        <v>45725</v>
      </c>
      <c r="H778" s="12">
        <v>-9</v>
      </c>
      <c r="I778" s="11">
        <v>13958.7</v>
      </c>
      <c r="J778" s="6" t="s">
        <v>22</v>
      </c>
      <c r="K778" s="6" t="s">
        <v>21</v>
      </c>
      <c r="L778" s="6" t="s">
        <v>21</v>
      </c>
      <c r="M778" s="2" t="str">
        <f t="shared" si="12"/>
        <v/>
      </c>
    </row>
    <row r="779" spans="1:13" x14ac:dyDescent="0.25">
      <c r="A779" s="6" t="s">
        <v>7</v>
      </c>
      <c r="B779" s="6" t="s">
        <v>528</v>
      </c>
      <c r="C779" s="6" t="s">
        <v>529</v>
      </c>
      <c r="D779" s="6" t="s">
        <v>1747</v>
      </c>
      <c r="E779" s="6" t="s">
        <v>1748</v>
      </c>
      <c r="F779" s="9">
        <v>45695</v>
      </c>
      <c r="G779" s="9">
        <v>45725</v>
      </c>
      <c r="H779" s="12">
        <v>-9</v>
      </c>
      <c r="I779" s="11">
        <v>40712.879999999997</v>
      </c>
      <c r="J779" s="6" t="s">
        <v>22</v>
      </c>
      <c r="K779" s="6" t="s">
        <v>21</v>
      </c>
      <c r="L779" s="6" t="s">
        <v>21</v>
      </c>
      <c r="M779" s="2" t="str">
        <f t="shared" si="12"/>
        <v/>
      </c>
    </row>
    <row r="780" spans="1:13" x14ac:dyDescent="0.25">
      <c r="A780" s="6" t="s">
        <v>7</v>
      </c>
      <c r="B780" s="6" t="s">
        <v>528</v>
      </c>
      <c r="C780" s="6" t="s">
        <v>529</v>
      </c>
      <c r="D780" s="6" t="s">
        <v>536</v>
      </c>
      <c r="E780" s="6" t="s">
        <v>537</v>
      </c>
      <c r="F780" s="9">
        <v>45412</v>
      </c>
      <c r="G780" s="9">
        <v>45445</v>
      </c>
      <c r="H780" s="10">
        <v>271</v>
      </c>
      <c r="I780" s="11">
        <v>18159.400000000001</v>
      </c>
      <c r="J780" s="6" t="s">
        <v>22</v>
      </c>
      <c r="K780" s="6" t="s">
        <v>538</v>
      </c>
      <c r="L780" s="6" t="s">
        <v>21</v>
      </c>
      <c r="M780" s="2">
        <f t="shared" si="12"/>
        <v>18159.400000000001</v>
      </c>
    </row>
    <row r="781" spans="1:13" x14ac:dyDescent="0.25">
      <c r="A781" s="6" t="s">
        <v>7</v>
      </c>
      <c r="B781" s="6" t="s">
        <v>528</v>
      </c>
      <c r="C781" s="6" t="s">
        <v>529</v>
      </c>
      <c r="D781" s="6" t="s">
        <v>539</v>
      </c>
      <c r="E781" s="6" t="s">
        <v>540</v>
      </c>
      <c r="F781" s="9">
        <v>45646</v>
      </c>
      <c r="G781" s="9">
        <v>45676</v>
      </c>
      <c r="H781" s="10">
        <v>40</v>
      </c>
      <c r="I781" s="11">
        <v>159564.71000000002</v>
      </c>
      <c r="J781" s="6" t="s">
        <v>22</v>
      </c>
      <c r="K781" s="6" t="s">
        <v>21</v>
      </c>
      <c r="L781" s="6" t="s">
        <v>21</v>
      </c>
      <c r="M781" s="2">
        <f t="shared" si="12"/>
        <v>159564.71000000002</v>
      </c>
    </row>
    <row r="782" spans="1:13" x14ac:dyDescent="0.25">
      <c r="A782" s="6" t="s">
        <v>7</v>
      </c>
      <c r="B782" s="6" t="s">
        <v>528</v>
      </c>
      <c r="C782" s="6" t="s">
        <v>529</v>
      </c>
      <c r="D782" s="6" t="s">
        <v>541</v>
      </c>
      <c r="E782" s="6" t="s">
        <v>21</v>
      </c>
      <c r="F782" s="9">
        <v>45302</v>
      </c>
      <c r="G782" s="9">
        <v>45302</v>
      </c>
      <c r="H782" s="10">
        <v>414</v>
      </c>
      <c r="I782" s="13">
        <v>-73510.259999999995</v>
      </c>
      <c r="J782" s="6" t="s">
        <v>22</v>
      </c>
      <c r="K782" s="6" t="s">
        <v>21</v>
      </c>
      <c r="L782" s="6" t="s">
        <v>21</v>
      </c>
      <c r="M782" s="2">
        <f t="shared" si="12"/>
        <v>-73510.259999999995</v>
      </c>
    </row>
    <row r="783" spans="1:13" x14ac:dyDescent="0.25">
      <c r="A783" s="6" t="s">
        <v>7</v>
      </c>
      <c r="B783" s="6" t="s">
        <v>542</v>
      </c>
      <c r="C783" s="6" t="s">
        <v>543</v>
      </c>
      <c r="D783" s="6" t="s">
        <v>544</v>
      </c>
      <c r="E783" s="6" t="s">
        <v>545</v>
      </c>
      <c r="F783" s="9">
        <v>45327</v>
      </c>
      <c r="G783" s="9">
        <v>45341</v>
      </c>
      <c r="H783" s="10">
        <v>375</v>
      </c>
      <c r="I783" s="11">
        <v>3534.3</v>
      </c>
      <c r="J783" s="6" t="s">
        <v>22</v>
      </c>
      <c r="K783" s="6" t="s">
        <v>21</v>
      </c>
      <c r="L783" s="6" t="s">
        <v>21</v>
      </c>
      <c r="M783" s="2">
        <f t="shared" si="12"/>
        <v>3534.3</v>
      </c>
    </row>
    <row r="784" spans="1:13" x14ac:dyDescent="0.25">
      <c r="A784" s="6" t="s">
        <v>7</v>
      </c>
      <c r="B784" s="6" t="s">
        <v>542</v>
      </c>
      <c r="C784" s="6" t="s">
        <v>543</v>
      </c>
      <c r="D784" s="6" t="s">
        <v>546</v>
      </c>
      <c r="E784" s="6" t="s">
        <v>547</v>
      </c>
      <c r="F784" s="9">
        <v>45633</v>
      </c>
      <c r="G784" s="9">
        <v>45647</v>
      </c>
      <c r="H784" s="10">
        <v>69</v>
      </c>
      <c r="I784" s="11">
        <v>1178.0999999999999</v>
      </c>
      <c r="J784" s="6" t="s">
        <v>22</v>
      </c>
      <c r="K784" s="6" t="s">
        <v>21</v>
      </c>
      <c r="L784" s="6" t="s">
        <v>21</v>
      </c>
      <c r="M784" s="2">
        <f t="shared" si="12"/>
        <v>1178.0999999999999</v>
      </c>
    </row>
    <row r="785" spans="1:13" x14ac:dyDescent="0.25">
      <c r="A785" s="6" t="s">
        <v>7</v>
      </c>
      <c r="B785" s="6" t="s">
        <v>542</v>
      </c>
      <c r="C785" s="6" t="s">
        <v>543</v>
      </c>
      <c r="D785" s="6" t="s">
        <v>1749</v>
      </c>
      <c r="E785" s="6" t="s">
        <v>1750</v>
      </c>
      <c r="F785" s="9">
        <v>45693</v>
      </c>
      <c r="G785" s="9">
        <v>45707</v>
      </c>
      <c r="H785" s="10">
        <v>9</v>
      </c>
      <c r="I785" s="11">
        <v>3534.3</v>
      </c>
      <c r="J785" s="6" t="s">
        <v>22</v>
      </c>
      <c r="K785" s="6" t="s">
        <v>21</v>
      </c>
      <c r="L785" s="6" t="s">
        <v>21</v>
      </c>
      <c r="M785" s="2">
        <f t="shared" si="12"/>
        <v>3534.3</v>
      </c>
    </row>
    <row r="786" spans="1:13" x14ac:dyDescent="0.25">
      <c r="M786" s="2" t="str">
        <f t="shared" si="12"/>
        <v/>
      </c>
    </row>
    <row r="787" spans="1:13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 s="2" t="str">
        <f t="shared" si="12"/>
        <v/>
      </c>
    </row>
    <row r="788" spans="1:13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 s="2" t="str">
        <f t="shared" si="12"/>
        <v/>
      </c>
    </row>
    <row r="789" spans="1:13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 s="2" t="str">
        <f t="shared" si="12"/>
        <v/>
      </c>
    </row>
    <row r="790" spans="1:13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 s="2" t="str">
        <f t="shared" si="12"/>
        <v/>
      </c>
    </row>
    <row r="791" spans="1:13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 s="2" t="str">
        <f t="shared" si="12"/>
        <v/>
      </c>
    </row>
    <row r="792" spans="1:13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 s="2" t="str">
        <f t="shared" si="12"/>
        <v/>
      </c>
    </row>
    <row r="793" spans="1:13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 s="2" t="str">
        <f t="shared" si="12"/>
        <v/>
      </c>
    </row>
    <row r="794" spans="1:13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 s="2" t="str">
        <f t="shared" si="12"/>
        <v/>
      </c>
    </row>
    <row r="795" spans="1:13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 s="2" t="str">
        <f t="shared" si="12"/>
        <v/>
      </c>
    </row>
    <row r="796" spans="1:13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 s="2" t="str">
        <f t="shared" si="12"/>
        <v/>
      </c>
    </row>
    <row r="797" spans="1:13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 s="2" t="str">
        <f t="shared" si="12"/>
        <v/>
      </c>
    </row>
    <row r="798" spans="1:13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 s="2" t="str">
        <f t="shared" si="12"/>
        <v/>
      </c>
    </row>
    <row r="799" spans="1:13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 s="2" t="str">
        <f t="shared" si="12"/>
        <v/>
      </c>
    </row>
    <row r="800" spans="1:13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 s="2" t="str">
        <f t="shared" si="12"/>
        <v/>
      </c>
    </row>
    <row r="801" spans="1:13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 s="2" t="str">
        <f t="shared" si="12"/>
        <v/>
      </c>
    </row>
    <row r="802" spans="1:13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 s="2" t="str">
        <f t="shared" si="12"/>
        <v/>
      </c>
    </row>
    <row r="803" spans="1:13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 s="2" t="str">
        <f t="shared" si="12"/>
        <v/>
      </c>
    </row>
    <row r="804" spans="1:13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 s="2" t="str">
        <f t="shared" si="12"/>
        <v/>
      </c>
    </row>
    <row r="805" spans="1:13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 s="2" t="str">
        <f t="shared" si="12"/>
        <v/>
      </c>
    </row>
    <row r="806" spans="1:13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 s="2" t="str">
        <f t="shared" si="12"/>
        <v/>
      </c>
    </row>
    <row r="807" spans="1:13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 s="2" t="str">
        <f t="shared" si="12"/>
        <v/>
      </c>
    </row>
    <row r="808" spans="1:13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 s="2" t="str">
        <f t="shared" si="12"/>
        <v/>
      </c>
    </row>
    <row r="809" spans="1:13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 s="2" t="str">
        <f t="shared" si="12"/>
        <v/>
      </c>
    </row>
    <row r="810" spans="1:13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 s="2" t="str">
        <f t="shared" si="12"/>
        <v/>
      </c>
    </row>
    <row r="811" spans="1:13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 s="2" t="str">
        <f t="shared" si="12"/>
        <v/>
      </c>
    </row>
    <row r="812" spans="1:13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 s="2" t="str">
        <f t="shared" si="12"/>
        <v/>
      </c>
    </row>
    <row r="813" spans="1:13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 s="2" t="str">
        <f t="shared" si="12"/>
        <v/>
      </c>
    </row>
    <row r="814" spans="1:13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 s="2" t="str">
        <f t="shared" si="12"/>
        <v/>
      </c>
    </row>
    <row r="815" spans="1:13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 s="2" t="str">
        <f t="shared" si="12"/>
        <v/>
      </c>
    </row>
    <row r="816" spans="1:13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 s="2" t="str">
        <f t="shared" si="12"/>
        <v/>
      </c>
    </row>
    <row r="817" spans="1:13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 s="2" t="str">
        <f t="shared" si="12"/>
        <v/>
      </c>
    </row>
    <row r="818" spans="1:13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 s="2" t="str">
        <f t="shared" si="12"/>
        <v/>
      </c>
    </row>
    <row r="819" spans="1:13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 s="2" t="str">
        <f t="shared" si="12"/>
        <v/>
      </c>
    </row>
    <row r="820" spans="1:13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 s="2" t="str">
        <f t="shared" si="12"/>
        <v/>
      </c>
    </row>
    <row r="821" spans="1:13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 s="2" t="str">
        <f t="shared" si="12"/>
        <v/>
      </c>
    </row>
    <row r="822" spans="1:13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 s="2" t="str">
        <f t="shared" si="12"/>
        <v/>
      </c>
    </row>
    <row r="823" spans="1:13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 s="2" t="str">
        <f t="shared" si="12"/>
        <v/>
      </c>
    </row>
    <row r="824" spans="1:13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 s="2" t="str">
        <f t="shared" si="12"/>
        <v/>
      </c>
    </row>
    <row r="825" spans="1:13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 s="2" t="str">
        <f t="shared" si="12"/>
        <v/>
      </c>
    </row>
    <row r="826" spans="1:13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 s="2" t="str">
        <f t="shared" si="12"/>
        <v/>
      </c>
    </row>
    <row r="827" spans="1:13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 s="2" t="str">
        <f t="shared" si="12"/>
        <v/>
      </c>
    </row>
    <row r="828" spans="1:13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 s="2" t="str">
        <f t="shared" si="12"/>
        <v/>
      </c>
    </row>
    <row r="829" spans="1:13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 s="2" t="str">
        <f t="shared" si="12"/>
        <v/>
      </c>
    </row>
    <row r="830" spans="1:13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 s="2" t="str">
        <f t="shared" si="12"/>
        <v/>
      </c>
    </row>
    <row r="831" spans="1:13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 s="2" t="str">
        <f t="shared" si="12"/>
        <v/>
      </c>
    </row>
    <row r="832" spans="1:13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 s="2" t="str">
        <f t="shared" si="12"/>
        <v/>
      </c>
    </row>
    <row r="833" spans="1:13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 s="2" t="str">
        <f t="shared" si="12"/>
        <v/>
      </c>
    </row>
    <row r="834" spans="1:13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 s="2" t="str">
        <f t="shared" si="12"/>
        <v/>
      </c>
    </row>
    <row r="835" spans="1:13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 s="2" t="str">
        <f t="shared" ref="M835:M898" si="13">IF(H835&gt;0,I835,"")</f>
        <v/>
      </c>
    </row>
    <row r="836" spans="1:13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 s="2" t="str">
        <f t="shared" si="13"/>
        <v/>
      </c>
    </row>
    <row r="837" spans="1:13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 s="2" t="str">
        <f t="shared" si="13"/>
        <v/>
      </c>
    </row>
    <row r="838" spans="1:13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 s="2" t="str">
        <f t="shared" si="13"/>
        <v/>
      </c>
    </row>
    <row r="839" spans="1:13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 s="2" t="str">
        <f t="shared" si="13"/>
        <v/>
      </c>
    </row>
    <row r="840" spans="1:13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 s="2" t="str">
        <f t="shared" si="13"/>
        <v/>
      </c>
    </row>
    <row r="841" spans="1:13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 s="2" t="str">
        <f t="shared" si="13"/>
        <v/>
      </c>
    </row>
    <row r="842" spans="1:13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 s="2" t="str">
        <f t="shared" si="13"/>
        <v/>
      </c>
    </row>
    <row r="843" spans="1:13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 s="2" t="str">
        <f t="shared" si="13"/>
        <v/>
      </c>
    </row>
    <row r="844" spans="1:13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 s="2" t="str">
        <f t="shared" si="13"/>
        <v/>
      </c>
    </row>
    <row r="845" spans="1:13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 s="2" t="str">
        <f t="shared" si="13"/>
        <v/>
      </c>
    </row>
    <row r="846" spans="1:13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 s="2" t="str">
        <f t="shared" si="13"/>
        <v/>
      </c>
    </row>
    <row r="847" spans="1:13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 s="2" t="str">
        <f t="shared" si="13"/>
        <v/>
      </c>
    </row>
    <row r="848" spans="1:13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 s="2" t="str">
        <f t="shared" si="13"/>
        <v/>
      </c>
    </row>
    <row r="849" spans="1:13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 s="2" t="str">
        <f t="shared" si="13"/>
        <v/>
      </c>
    </row>
    <row r="850" spans="1:13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 s="2" t="str">
        <f t="shared" si="13"/>
        <v/>
      </c>
    </row>
    <row r="851" spans="1:13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 s="2" t="str">
        <f t="shared" si="13"/>
        <v/>
      </c>
    </row>
    <row r="852" spans="1:13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 s="2" t="str">
        <f t="shared" si="13"/>
        <v/>
      </c>
    </row>
    <row r="853" spans="1:13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 s="2" t="str">
        <f t="shared" si="13"/>
        <v/>
      </c>
    </row>
    <row r="854" spans="1:13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 s="2" t="str">
        <f t="shared" si="13"/>
        <v/>
      </c>
    </row>
    <row r="855" spans="1:13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 s="2" t="str">
        <f t="shared" si="13"/>
        <v/>
      </c>
    </row>
    <row r="856" spans="1:13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 s="2" t="str">
        <f t="shared" si="13"/>
        <v/>
      </c>
    </row>
    <row r="857" spans="1:13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 s="2" t="str">
        <f t="shared" si="13"/>
        <v/>
      </c>
    </row>
    <row r="858" spans="1:13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 s="2" t="str">
        <f t="shared" si="13"/>
        <v/>
      </c>
    </row>
    <row r="859" spans="1:13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 s="2" t="str">
        <f t="shared" si="13"/>
        <v/>
      </c>
    </row>
    <row r="860" spans="1:13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 s="2" t="str">
        <f t="shared" si="13"/>
        <v/>
      </c>
    </row>
    <row r="861" spans="1:13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 s="2" t="str">
        <f t="shared" si="13"/>
        <v/>
      </c>
    </row>
    <row r="862" spans="1:13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 s="2" t="str">
        <f t="shared" si="13"/>
        <v/>
      </c>
    </row>
    <row r="863" spans="1:13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 s="2" t="str">
        <f t="shared" si="13"/>
        <v/>
      </c>
    </row>
    <row r="864" spans="1:13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 s="2" t="str">
        <f t="shared" si="13"/>
        <v/>
      </c>
    </row>
    <row r="865" spans="1:13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 s="2" t="str">
        <f t="shared" si="13"/>
        <v/>
      </c>
    </row>
    <row r="866" spans="1:13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 s="2" t="str">
        <f t="shared" si="13"/>
        <v/>
      </c>
    </row>
    <row r="867" spans="1:13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 s="2" t="str">
        <f t="shared" si="13"/>
        <v/>
      </c>
    </row>
    <row r="868" spans="1:13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 s="2" t="str">
        <f t="shared" si="13"/>
        <v/>
      </c>
    </row>
    <row r="869" spans="1:13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 s="2" t="str">
        <f t="shared" si="13"/>
        <v/>
      </c>
    </row>
    <row r="870" spans="1:13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 s="2" t="str">
        <f t="shared" si="13"/>
        <v/>
      </c>
    </row>
    <row r="871" spans="1:13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 s="2" t="str">
        <f t="shared" si="13"/>
        <v/>
      </c>
    </row>
    <row r="872" spans="1:13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 s="2" t="str">
        <f t="shared" si="13"/>
        <v/>
      </c>
    </row>
    <row r="873" spans="1:13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 s="2" t="str">
        <f t="shared" si="13"/>
        <v/>
      </c>
    </row>
    <row r="874" spans="1:13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 s="2" t="str">
        <f t="shared" si="13"/>
        <v/>
      </c>
    </row>
    <row r="875" spans="1:13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 s="2" t="str">
        <f t="shared" si="13"/>
        <v/>
      </c>
    </row>
    <row r="876" spans="1:13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 s="2" t="str">
        <f t="shared" si="13"/>
        <v/>
      </c>
    </row>
    <row r="877" spans="1:13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 s="2" t="str">
        <f t="shared" si="13"/>
        <v/>
      </c>
    </row>
    <row r="878" spans="1:13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 s="2" t="str">
        <f t="shared" si="13"/>
        <v/>
      </c>
    </row>
    <row r="879" spans="1:13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 s="2" t="str">
        <f t="shared" si="13"/>
        <v/>
      </c>
    </row>
    <row r="880" spans="1:13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 s="2" t="str">
        <f t="shared" si="13"/>
        <v/>
      </c>
    </row>
    <row r="881" spans="1:13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 s="2" t="str">
        <f t="shared" si="13"/>
        <v/>
      </c>
    </row>
    <row r="882" spans="1:13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 s="2" t="str">
        <f t="shared" si="13"/>
        <v/>
      </c>
    </row>
    <row r="883" spans="1:13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 s="2" t="str">
        <f t="shared" si="13"/>
        <v/>
      </c>
    </row>
    <row r="884" spans="1:13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 s="2" t="str">
        <f t="shared" si="13"/>
        <v/>
      </c>
    </row>
    <row r="885" spans="1:13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 s="2" t="str">
        <f t="shared" si="13"/>
        <v/>
      </c>
    </row>
    <row r="886" spans="1:13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 s="2" t="str">
        <f t="shared" si="13"/>
        <v/>
      </c>
    </row>
    <row r="887" spans="1:13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 s="2" t="str">
        <f t="shared" si="13"/>
        <v/>
      </c>
    </row>
    <row r="888" spans="1:13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 s="2" t="str">
        <f t="shared" si="13"/>
        <v/>
      </c>
    </row>
    <row r="889" spans="1:13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 s="2" t="str">
        <f t="shared" si="13"/>
        <v/>
      </c>
    </row>
    <row r="890" spans="1:13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 s="2" t="str">
        <f t="shared" si="13"/>
        <v/>
      </c>
    </row>
    <row r="891" spans="1:13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 s="2" t="str">
        <f t="shared" si="13"/>
        <v/>
      </c>
    </row>
    <row r="892" spans="1:13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 s="2" t="str">
        <f t="shared" si="13"/>
        <v/>
      </c>
    </row>
    <row r="893" spans="1:13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 s="2" t="str">
        <f t="shared" si="13"/>
        <v/>
      </c>
    </row>
    <row r="894" spans="1:13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 s="2" t="str">
        <f t="shared" si="13"/>
        <v/>
      </c>
    </row>
    <row r="895" spans="1:13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 s="2" t="str">
        <f t="shared" si="13"/>
        <v/>
      </c>
    </row>
    <row r="896" spans="1:13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 s="2" t="str">
        <f t="shared" si="13"/>
        <v/>
      </c>
    </row>
    <row r="897" spans="1:13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 s="2" t="str">
        <f t="shared" si="13"/>
        <v/>
      </c>
    </row>
    <row r="898" spans="1:13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 s="2" t="str">
        <f t="shared" si="13"/>
        <v/>
      </c>
    </row>
    <row r="899" spans="1:13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 s="2" t="str">
        <f t="shared" ref="M899:M962" si="14">IF(H899&gt;0,I899,"")</f>
        <v/>
      </c>
    </row>
    <row r="900" spans="1:13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 s="2" t="str">
        <f t="shared" si="14"/>
        <v/>
      </c>
    </row>
    <row r="901" spans="1:13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 s="2" t="str">
        <f t="shared" si="14"/>
        <v/>
      </c>
    </row>
    <row r="902" spans="1:13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 s="2" t="str">
        <f t="shared" si="14"/>
        <v/>
      </c>
    </row>
    <row r="903" spans="1:13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 s="2" t="str">
        <f t="shared" si="14"/>
        <v/>
      </c>
    </row>
    <row r="904" spans="1:13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 s="2" t="str">
        <f t="shared" si="14"/>
        <v/>
      </c>
    </row>
    <row r="905" spans="1:13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 s="2" t="str">
        <f t="shared" si="14"/>
        <v/>
      </c>
    </row>
    <row r="906" spans="1:13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 s="2" t="str">
        <f t="shared" si="14"/>
        <v/>
      </c>
    </row>
    <row r="907" spans="1:13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 s="2" t="str">
        <f t="shared" si="14"/>
        <v/>
      </c>
    </row>
    <row r="908" spans="1:13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 s="2" t="str">
        <f t="shared" si="14"/>
        <v/>
      </c>
    </row>
    <row r="909" spans="1:13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 s="2" t="str">
        <f t="shared" si="14"/>
        <v/>
      </c>
    </row>
    <row r="910" spans="1:13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 s="2" t="str">
        <f t="shared" si="14"/>
        <v/>
      </c>
    </row>
    <row r="911" spans="1:13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 s="2" t="str">
        <f t="shared" si="14"/>
        <v/>
      </c>
    </row>
    <row r="912" spans="1:13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 s="2" t="str">
        <f t="shared" si="14"/>
        <v/>
      </c>
    </row>
    <row r="913" spans="1:13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 s="2" t="str">
        <f t="shared" si="14"/>
        <v/>
      </c>
    </row>
    <row r="914" spans="1:13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 s="2" t="str">
        <f t="shared" si="14"/>
        <v/>
      </c>
    </row>
    <row r="915" spans="1:13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 s="2" t="str">
        <f t="shared" si="14"/>
        <v/>
      </c>
    </row>
    <row r="916" spans="1:13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 s="2" t="str">
        <f t="shared" si="14"/>
        <v/>
      </c>
    </row>
    <row r="917" spans="1:13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 s="2" t="str">
        <f t="shared" si="14"/>
        <v/>
      </c>
    </row>
    <row r="918" spans="1:13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 s="2" t="str">
        <f t="shared" si="14"/>
        <v/>
      </c>
    </row>
    <row r="919" spans="1:13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 s="2" t="str">
        <f t="shared" si="14"/>
        <v/>
      </c>
    </row>
    <row r="920" spans="1:13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 s="2" t="str">
        <f t="shared" si="14"/>
        <v/>
      </c>
    </row>
    <row r="921" spans="1:13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 s="2" t="str">
        <f t="shared" si="14"/>
        <v/>
      </c>
    </row>
    <row r="922" spans="1:13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 s="2" t="str">
        <f t="shared" si="14"/>
        <v/>
      </c>
    </row>
    <row r="923" spans="1:13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 s="2" t="str">
        <f t="shared" si="14"/>
        <v/>
      </c>
    </row>
    <row r="924" spans="1:13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 s="2" t="str">
        <f t="shared" si="14"/>
        <v/>
      </c>
    </row>
    <row r="925" spans="1:13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 s="2" t="str">
        <f t="shared" si="14"/>
        <v/>
      </c>
    </row>
    <row r="926" spans="1:13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 s="2" t="str">
        <f t="shared" si="14"/>
        <v/>
      </c>
    </row>
    <row r="927" spans="1:13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 s="2" t="str">
        <f t="shared" si="14"/>
        <v/>
      </c>
    </row>
    <row r="928" spans="1:13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 s="2" t="str">
        <f t="shared" si="14"/>
        <v/>
      </c>
    </row>
    <row r="929" spans="1:13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 s="2" t="str">
        <f t="shared" si="14"/>
        <v/>
      </c>
    </row>
    <row r="930" spans="1:13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 s="2" t="str">
        <f t="shared" si="14"/>
        <v/>
      </c>
    </row>
    <row r="931" spans="1:13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 s="2" t="str">
        <f t="shared" si="14"/>
        <v/>
      </c>
    </row>
    <row r="932" spans="1:13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 s="2" t="str">
        <f t="shared" si="14"/>
        <v/>
      </c>
    </row>
    <row r="933" spans="1:13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 s="2" t="str">
        <f t="shared" si="14"/>
        <v/>
      </c>
    </row>
    <row r="934" spans="1:13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 s="2" t="str">
        <f t="shared" si="14"/>
        <v/>
      </c>
    </row>
    <row r="935" spans="1:13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 s="2" t="str">
        <f t="shared" si="14"/>
        <v/>
      </c>
    </row>
    <row r="936" spans="1:13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 s="2" t="str">
        <f t="shared" si="14"/>
        <v/>
      </c>
    </row>
    <row r="937" spans="1:13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 s="2" t="str">
        <f t="shared" si="14"/>
        <v/>
      </c>
    </row>
    <row r="938" spans="1:13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 s="2" t="str">
        <f t="shared" si="14"/>
        <v/>
      </c>
    </row>
    <row r="939" spans="1:13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 s="2" t="str">
        <f t="shared" si="14"/>
        <v/>
      </c>
    </row>
    <row r="940" spans="1:13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 s="2" t="str">
        <f t="shared" si="14"/>
        <v/>
      </c>
    </row>
    <row r="941" spans="1:13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 s="2" t="str">
        <f t="shared" si="14"/>
        <v/>
      </c>
    </row>
    <row r="942" spans="1:13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 s="2" t="str">
        <f t="shared" si="14"/>
        <v/>
      </c>
    </row>
    <row r="943" spans="1:13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 s="2" t="str">
        <f t="shared" si="14"/>
        <v/>
      </c>
    </row>
    <row r="944" spans="1:13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 s="2" t="str">
        <f t="shared" si="14"/>
        <v/>
      </c>
    </row>
    <row r="945" spans="1:13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 s="2" t="str">
        <f t="shared" si="14"/>
        <v/>
      </c>
    </row>
    <row r="946" spans="1:13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 s="2" t="str">
        <f t="shared" si="14"/>
        <v/>
      </c>
    </row>
    <row r="947" spans="1:13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 s="2" t="str">
        <f t="shared" si="14"/>
        <v/>
      </c>
    </row>
    <row r="948" spans="1:13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 s="2" t="str">
        <f t="shared" si="14"/>
        <v/>
      </c>
    </row>
    <row r="949" spans="1:13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 s="2" t="str">
        <f t="shared" si="14"/>
        <v/>
      </c>
    </row>
    <row r="950" spans="1:13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 s="2" t="str">
        <f t="shared" si="14"/>
        <v/>
      </c>
    </row>
    <row r="951" spans="1:13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 s="2" t="str">
        <f t="shared" si="14"/>
        <v/>
      </c>
    </row>
    <row r="952" spans="1:13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 s="2" t="str">
        <f t="shared" si="14"/>
        <v/>
      </c>
    </row>
    <row r="953" spans="1:13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 s="2" t="str">
        <f t="shared" si="14"/>
        <v/>
      </c>
    </row>
    <row r="954" spans="1:13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 s="2" t="str">
        <f t="shared" si="14"/>
        <v/>
      </c>
    </row>
    <row r="955" spans="1:13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 s="2" t="str">
        <f t="shared" si="14"/>
        <v/>
      </c>
    </row>
    <row r="956" spans="1:13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 s="2" t="str">
        <f t="shared" si="14"/>
        <v/>
      </c>
    </row>
    <row r="957" spans="1:13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 s="2" t="str">
        <f t="shared" si="14"/>
        <v/>
      </c>
    </row>
    <row r="958" spans="1:13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 s="2" t="str">
        <f t="shared" si="14"/>
        <v/>
      </c>
    </row>
    <row r="959" spans="1:13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 s="2" t="str">
        <f t="shared" si="14"/>
        <v/>
      </c>
    </row>
    <row r="960" spans="1:13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 s="2" t="str">
        <f t="shared" si="14"/>
        <v/>
      </c>
    </row>
    <row r="961" spans="1:13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 s="2" t="str">
        <f t="shared" si="14"/>
        <v/>
      </c>
    </row>
    <row r="962" spans="1:13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 s="2" t="str">
        <f t="shared" si="14"/>
        <v/>
      </c>
    </row>
    <row r="963" spans="1:13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 s="2" t="str">
        <f t="shared" ref="M963:M1026" si="15">IF(H963&gt;0,I963,"")</f>
        <v/>
      </c>
    </row>
    <row r="964" spans="1:13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 s="2" t="str">
        <f t="shared" si="15"/>
        <v/>
      </c>
    </row>
    <row r="965" spans="1:13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 s="2" t="str">
        <f t="shared" si="15"/>
        <v/>
      </c>
    </row>
    <row r="966" spans="1:13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 s="2" t="str">
        <f t="shared" si="15"/>
        <v/>
      </c>
    </row>
    <row r="967" spans="1:13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 s="2" t="str">
        <f t="shared" si="15"/>
        <v/>
      </c>
    </row>
    <row r="968" spans="1:13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 s="2" t="str">
        <f t="shared" si="15"/>
        <v/>
      </c>
    </row>
    <row r="969" spans="1:13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 s="2" t="str">
        <f t="shared" si="15"/>
        <v/>
      </c>
    </row>
    <row r="970" spans="1:13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 s="2" t="str">
        <f t="shared" si="15"/>
        <v/>
      </c>
    </row>
    <row r="971" spans="1:13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 s="2" t="str">
        <f t="shared" si="15"/>
        <v/>
      </c>
    </row>
    <row r="972" spans="1:13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 s="2" t="str">
        <f t="shared" si="15"/>
        <v/>
      </c>
    </row>
    <row r="973" spans="1:13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 s="2" t="str">
        <f t="shared" si="15"/>
        <v/>
      </c>
    </row>
    <row r="974" spans="1:13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 s="2" t="str">
        <f t="shared" si="15"/>
        <v/>
      </c>
    </row>
    <row r="975" spans="1:13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 s="2" t="str">
        <f t="shared" si="15"/>
        <v/>
      </c>
    </row>
    <row r="976" spans="1:13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 s="2" t="str">
        <f t="shared" si="15"/>
        <v/>
      </c>
    </row>
    <row r="977" spans="1:13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 s="2" t="str">
        <f t="shared" si="15"/>
        <v/>
      </c>
    </row>
    <row r="978" spans="1:13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 s="2" t="str">
        <f t="shared" si="15"/>
        <v/>
      </c>
    </row>
    <row r="979" spans="1:13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 s="2" t="str">
        <f t="shared" si="15"/>
        <v/>
      </c>
    </row>
    <row r="980" spans="1:13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 s="2" t="str">
        <f t="shared" si="15"/>
        <v/>
      </c>
    </row>
    <row r="981" spans="1:13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 s="2" t="str">
        <f t="shared" si="15"/>
        <v/>
      </c>
    </row>
    <row r="982" spans="1:13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 s="2" t="str">
        <f t="shared" si="15"/>
        <v/>
      </c>
    </row>
    <row r="983" spans="1:13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 s="2" t="str">
        <f t="shared" si="15"/>
        <v/>
      </c>
    </row>
    <row r="984" spans="1:13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 s="2" t="str">
        <f t="shared" si="15"/>
        <v/>
      </c>
    </row>
    <row r="985" spans="1:13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 s="2" t="str">
        <f t="shared" si="15"/>
        <v/>
      </c>
    </row>
    <row r="986" spans="1:13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 s="2" t="str">
        <f t="shared" si="15"/>
        <v/>
      </c>
    </row>
    <row r="987" spans="1:13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 s="2" t="str">
        <f t="shared" si="15"/>
        <v/>
      </c>
    </row>
    <row r="988" spans="1:13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 s="2" t="str">
        <f t="shared" si="15"/>
        <v/>
      </c>
    </row>
    <row r="989" spans="1:13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 s="2" t="str">
        <f t="shared" si="15"/>
        <v/>
      </c>
    </row>
    <row r="990" spans="1:13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 s="2" t="str">
        <f t="shared" si="15"/>
        <v/>
      </c>
    </row>
    <row r="991" spans="1:13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 s="2" t="str">
        <f t="shared" si="15"/>
        <v/>
      </c>
    </row>
    <row r="992" spans="1:13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 s="2" t="str">
        <f t="shared" si="15"/>
        <v/>
      </c>
    </row>
    <row r="993" spans="1:13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 s="2" t="str">
        <f t="shared" si="15"/>
        <v/>
      </c>
    </row>
    <row r="994" spans="1:13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 s="2" t="str">
        <f t="shared" si="15"/>
        <v/>
      </c>
    </row>
    <row r="995" spans="1:13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 s="2" t="str">
        <f t="shared" si="15"/>
        <v/>
      </c>
    </row>
    <row r="996" spans="1:13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 s="2" t="str">
        <f t="shared" si="15"/>
        <v/>
      </c>
    </row>
    <row r="997" spans="1:13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 s="2" t="str">
        <f t="shared" si="15"/>
        <v/>
      </c>
    </row>
    <row r="998" spans="1:13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 s="2" t="str">
        <f t="shared" si="15"/>
        <v/>
      </c>
    </row>
    <row r="999" spans="1:13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 s="2" t="str">
        <f t="shared" si="15"/>
        <v/>
      </c>
    </row>
    <row r="1000" spans="1:13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 s="2" t="str">
        <f t="shared" si="15"/>
        <v/>
      </c>
    </row>
    <row r="1001" spans="1:13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 s="2" t="str">
        <f t="shared" si="15"/>
        <v/>
      </c>
    </row>
    <row r="1002" spans="1:13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 s="2" t="str">
        <f t="shared" si="15"/>
        <v/>
      </c>
    </row>
    <row r="1003" spans="1:13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 s="2" t="str">
        <f t="shared" si="15"/>
        <v/>
      </c>
    </row>
    <row r="1004" spans="1:13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 s="2" t="str">
        <f t="shared" si="15"/>
        <v/>
      </c>
    </row>
    <row r="1005" spans="1:13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 s="2" t="str">
        <f t="shared" si="15"/>
        <v/>
      </c>
    </row>
    <row r="1006" spans="1:13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 s="2" t="str">
        <f t="shared" si="15"/>
        <v/>
      </c>
    </row>
    <row r="1007" spans="1:13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 s="2" t="str">
        <f t="shared" si="15"/>
        <v/>
      </c>
    </row>
    <row r="1008" spans="1:13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 s="2" t="str">
        <f t="shared" si="15"/>
        <v/>
      </c>
    </row>
    <row r="1009" spans="1:13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 s="2" t="str">
        <f t="shared" si="15"/>
        <v/>
      </c>
    </row>
    <row r="1010" spans="1:13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 s="2" t="str">
        <f t="shared" si="15"/>
        <v/>
      </c>
    </row>
    <row r="1011" spans="1:13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 s="2" t="str">
        <f t="shared" si="15"/>
        <v/>
      </c>
    </row>
    <row r="1012" spans="1:13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 s="2" t="str">
        <f t="shared" si="15"/>
        <v/>
      </c>
    </row>
    <row r="1013" spans="1:13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 s="2" t="str">
        <f t="shared" si="15"/>
        <v/>
      </c>
    </row>
    <row r="1014" spans="1:13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 s="2" t="str">
        <f t="shared" si="15"/>
        <v/>
      </c>
    </row>
    <row r="1015" spans="1:13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 s="2" t="str">
        <f t="shared" si="15"/>
        <v/>
      </c>
    </row>
    <row r="1016" spans="1:13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 s="2" t="str">
        <f t="shared" si="15"/>
        <v/>
      </c>
    </row>
    <row r="1017" spans="1:13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 s="2" t="str">
        <f t="shared" si="15"/>
        <v/>
      </c>
    </row>
    <row r="1018" spans="1:13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 s="2" t="str">
        <f t="shared" si="15"/>
        <v/>
      </c>
    </row>
    <row r="1019" spans="1:13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 s="2" t="str">
        <f t="shared" si="15"/>
        <v/>
      </c>
    </row>
    <row r="1020" spans="1:13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 s="2" t="str">
        <f t="shared" si="15"/>
        <v/>
      </c>
    </row>
    <row r="1021" spans="1:13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 s="2" t="str">
        <f t="shared" si="15"/>
        <v/>
      </c>
    </row>
    <row r="1022" spans="1:13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 s="2" t="str">
        <f t="shared" si="15"/>
        <v/>
      </c>
    </row>
    <row r="1023" spans="1:13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 s="2" t="str">
        <f t="shared" si="15"/>
        <v/>
      </c>
    </row>
    <row r="1024" spans="1:13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 s="2" t="str">
        <f t="shared" si="15"/>
        <v/>
      </c>
    </row>
    <row r="1025" spans="1:13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 s="2" t="str">
        <f t="shared" si="15"/>
        <v/>
      </c>
    </row>
    <row r="1026" spans="1:13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 s="2" t="str">
        <f t="shared" si="15"/>
        <v/>
      </c>
    </row>
    <row r="1027" spans="1:13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 s="2" t="str">
        <f t="shared" ref="M1027:M1090" si="16">IF(H1027&gt;0,I1027,"")</f>
        <v/>
      </c>
    </row>
    <row r="1028" spans="1:13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 s="2" t="str">
        <f t="shared" si="16"/>
        <v/>
      </c>
    </row>
    <row r="1029" spans="1:13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 s="2" t="str">
        <f t="shared" si="16"/>
        <v/>
      </c>
    </row>
    <row r="1030" spans="1:13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 s="2" t="str">
        <f t="shared" si="16"/>
        <v/>
      </c>
    </row>
    <row r="1031" spans="1:13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 s="2" t="str">
        <f t="shared" si="16"/>
        <v/>
      </c>
    </row>
    <row r="1032" spans="1:13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 s="2" t="str">
        <f t="shared" si="16"/>
        <v/>
      </c>
    </row>
    <row r="1033" spans="1:13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 s="2" t="str">
        <f t="shared" si="16"/>
        <v/>
      </c>
    </row>
    <row r="1034" spans="1:13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 s="2" t="str">
        <f t="shared" si="16"/>
        <v/>
      </c>
    </row>
    <row r="1035" spans="1:13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 s="2" t="str">
        <f t="shared" si="16"/>
        <v/>
      </c>
    </row>
    <row r="1036" spans="1:13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 s="2" t="str">
        <f t="shared" si="16"/>
        <v/>
      </c>
    </row>
    <row r="1037" spans="1:13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 s="2" t="str">
        <f t="shared" si="16"/>
        <v/>
      </c>
    </row>
    <row r="1038" spans="1:13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 s="2" t="str">
        <f t="shared" si="16"/>
        <v/>
      </c>
    </row>
    <row r="1039" spans="1:13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 s="2" t="str">
        <f t="shared" si="16"/>
        <v/>
      </c>
    </row>
    <row r="1040" spans="1:13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 s="2" t="str">
        <f t="shared" si="16"/>
        <v/>
      </c>
    </row>
    <row r="1041" spans="1:13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 s="2" t="str">
        <f t="shared" si="16"/>
        <v/>
      </c>
    </row>
    <row r="1042" spans="1:13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 s="2" t="str">
        <f t="shared" si="16"/>
        <v/>
      </c>
    </row>
    <row r="1043" spans="1:13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 s="2" t="str">
        <f t="shared" si="16"/>
        <v/>
      </c>
    </row>
    <row r="1044" spans="1:13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 s="2" t="str">
        <f t="shared" si="16"/>
        <v/>
      </c>
    </row>
    <row r="1045" spans="1:13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 s="2" t="str">
        <f t="shared" si="16"/>
        <v/>
      </c>
    </row>
    <row r="1046" spans="1:13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 s="2" t="str">
        <f t="shared" si="16"/>
        <v/>
      </c>
    </row>
    <row r="1047" spans="1:13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 s="2" t="str">
        <f t="shared" si="16"/>
        <v/>
      </c>
    </row>
    <row r="1048" spans="1:13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 s="2" t="str">
        <f t="shared" si="16"/>
        <v/>
      </c>
    </row>
    <row r="1049" spans="1:13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 s="2" t="str">
        <f t="shared" si="16"/>
        <v/>
      </c>
    </row>
    <row r="1050" spans="1:13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 s="2" t="str">
        <f t="shared" si="16"/>
        <v/>
      </c>
    </row>
    <row r="1051" spans="1:13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 s="2" t="str">
        <f t="shared" si="16"/>
        <v/>
      </c>
    </row>
    <row r="1052" spans="1:13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 s="2" t="str">
        <f t="shared" si="16"/>
        <v/>
      </c>
    </row>
    <row r="1053" spans="1:13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 s="2" t="str">
        <f t="shared" si="16"/>
        <v/>
      </c>
    </row>
    <row r="1054" spans="1:13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 s="2" t="str">
        <f t="shared" si="16"/>
        <v/>
      </c>
    </row>
    <row r="1055" spans="1:13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 s="2" t="str">
        <f t="shared" si="16"/>
        <v/>
      </c>
    </row>
    <row r="1056" spans="1:13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 s="2" t="str">
        <f t="shared" si="16"/>
        <v/>
      </c>
    </row>
    <row r="1057" spans="1:13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 s="2" t="str">
        <f t="shared" si="16"/>
        <v/>
      </c>
    </row>
    <row r="1058" spans="1:13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 s="2" t="str">
        <f t="shared" si="16"/>
        <v/>
      </c>
    </row>
    <row r="1059" spans="1:13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 s="2" t="str">
        <f t="shared" si="16"/>
        <v/>
      </c>
    </row>
    <row r="1060" spans="1:13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 s="2" t="str">
        <f t="shared" si="16"/>
        <v/>
      </c>
    </row>
    <row r="1061" spans="1:13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 s="2" t="str">
        <f t="shared" si="16"/>
        <v/>
      </c>
    </row>
    <row r="1062" spans="1:13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 s="2" t="str">
        <f t="shared" si="16"/>
        <v/>
      </c>
    </row>
    <row r="1063" spans="1:13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 s="2" t="str">
        <f t="shared" si="16"/>
        <v/>
      </c>
    </row>
    <row r="1064" spans="1:13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 s="2" t="str">
        <f t="shared" si="16"/>
        <v/>
      </c>
    </row>
    <row r="1065" spans="1:13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 s="2" t="str">
        <f t="shared" si="16"/>
        <v/>
      </c>
    </row>
    <row r="1066" spans="1:13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 s="2" t="str">
        <f t="shared" si="16"/>
        <v/>
      </c>
    </row>
    <row r="1067" spans="1:13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 s="2" t="str">
        <f t="shared" si="16"/>
        <v/>
      </c>
    </row>
    <row r="1068" spans="1:13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 s="2" t="str">
        <f t="shared" si="16"/>
        <v/>
      </c>
    </row>
    <row r="1069" spans="1:13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 s="2" t="str">
        <f t="shared" si="16"/>
        <v/>
      </c>
    </row>
    <row r="1070" spans="1:13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 s="2" t="str">
        <f t="shared" si="16"/>
        <v/>
      </c>
    </row>
    <row r="1071" spans="1:13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 s="2" t="str">
        <f t="shared" si="16"/>
        <v/>
      </c>
    </row>
    <row r="1072" spans="1:13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 s="2" t="str">
        <f t="shared" si="16"/>
        <v/>
      </c>
    </row>
    <row r="1073" spans="1:13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 s="2" t="str">
        <f t="shared" si="16"/>
        <v/>
      </c>
    </row>
    <row r="1074" spans="1:13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 s="2" t="str">
        <f t="shared" si="16"/>
        <v/>
      </c>
    </row>
    <row r="1075" spans="1:13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 s="2" t="str">
        <f t="shared" si="16"/>
        <v/>
      </c>
    </row>
    <row r="1076" spans="1:13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 s="2" t="str">
        <f t="shared" si="16"/>
        <v/>
      </c>
    </row>
    <row r="1077" spans="1:13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 s="2" t="str">
        <f t="shared" si="16"/>
        <v/>
      </c>
    </row>
    <row r="1078" spans="1:13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 s="2" t="str">
        <f t="shared" si="16"/>
        <v/>
      </c>
    </row>
    <row r="1079" spans="1:13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 s="2" t="str">
        <f t="shared" si="16"/>
        <v/>
      </c>
    </row>
    <row r="1080" spans="1:13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 s="2" t="str">
        <f t="shared" si="16"/>
        <v/>
      </c>
    </row>
    <row r="1081" spans="1:13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 s="2" t="str">
        <f t="shared" si="16"/>
        <v/>
      </c>
    </row>
    <row r="1082" spans="1:13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 s="2" t="str">
        <f t="shared" si="16"/>
        <v/>
      </c>
    </row>
    <row r="1083" spans="1:13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 s="2" t="str">
        <f t="shared" si="16"/>
        <v/>
      </c>
    </row>
    <row r="1084" spans="1:13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 s="2" t="str">
        <f t="shared" si="16"/>
        <v/>
      </c>
    </row>
    <row r="1085" spans="1:13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 s="2" t="str">
        <f t="shared" si="16"/>
        <v/>
      </c>
    </row>
    <row r="1086" spans="1:13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 s="2" t="str">
        <f t="shared" si="16"/>
        <v/>
      </c>
    </row>
    <row r="1087" spans="1:13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 s="2" t="str">
        <f t="shared" si="16"/>
        <v/>
      </c>
    </row>
    <row r="1088" spans="1:13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 s="2" t="str">
        <f t="shared" si="16"/>
        <v/>
      </c>
    </row>
    <row r="1089" spans="1:13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 s="2" t="str">
        <f t="shared" si="16"/>
        <v/>
      </c>
    </row>
    <row r="1090" spans="1:13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 s="2" t="str">
        <f t="shared" si="16"/>
        <v/>
      </c>
    </row>
    <row r="1091" spans="1:13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 s="2" t="str">
        <f t="shared" ref="M1091:M1154" si="17">IF(H1091&gt;0,I1091,"")</f>
        <v/>
      </c>
    </row>
    <row r="1092" spans="1:13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 s="2" t="str">
        <f t="shared" si="17"/>
        <v/>
      </c>
    </row>
    <row r="1093" spans="1:13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 s="2" t="str">
        <f t="shared" si="17"/>
        <v/>
      </c>
    </row>
    <row r="1094" spans="1:13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 s="2" t="str">
        <f t="shared" si="17"/>
        <v/>
      </c>
    </row>
    <row r="1095" spans="1:13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 s="2" t="str">
        <f t="shared" si="17"/>
        <v/>
      </c>
    </row>
    <row r="1096" spans="1:13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 s="2" t="str">
        <f t="shared" si="17"/>
        <v/>
      </c>
    </row>
    <row r="1097" spans="1:13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 s="2" t="str">
        <f t="shared" si="17"/>
        <v/>
      </c>
    </row>
    <row r="1098" spans="1:13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 s="2" t="str">
        <f t="shared" si="17"/>
        <v/>
      </c>
    </row>
    <row r="1099" spans="1:13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 s="2" t="str">
        <f t="shared" si="17"/>
        <v/>
      </c>
    </row>
    <row r="1100" spans="1:13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 s="2" t="str">
        <f t="shared" si="17"/>
        <v/>
      </c>
    </row>
    <row r="1101" spans="1:13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 s="2" t="str">
        <f t="shared" si="17"/>
        <v/>
      </c>
    </row>
    <row r="1102" spans="1:13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 s="2" t="str">
        <f t="shared" si="17"/>
        <v/>
      </c>
    </row>
    <row r="1103" spans="1:13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 s="2" t="str">
        <f t="shared" si="17"/>
        <v/>
      </c>
    </row>
    <row r="1104" spans="1:13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 s="2" t="str">
        <f t="shared" si="17"/>
        <v/>
      </c>
    </row>
    <row r="1105" spans="1:13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 s="2" t="str">
        <f t="shared" si="17"/>
        <v/>
      </c>
    </row>
    <row r="1106" spans="1:13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 s="2" t="str">
        <f t="shared" si="17"/>
        <v/>
      </c>
    </row>
    <row r="1107" spans="1:13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 s="2" t="str">
        <f t="shared" si="17"/>
        <v/>
      </c>
    </row>
    <row r="1108" spans="1:13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 s="2" t="str">
        <f t="shared" si="17"/>
        <v/>
      </c>
    </row>
    <row r="1109" spans="1:13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 s="2" t="str">
        <f t="shared" si="17"/>
        <v/>
      </c>
    </row>
    <row r="1110" spans="1:13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 s="2" t="str">
        <f t="shared" si="17"/>
        <v/>
      </c>
    </row>
    <row r="1111" spans="1:13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 s="2" t="str">
        <f t="shared" si="17"/>
        <v/>
      </c>
    </row>
    <row r="1112" spans="1:13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 s="2" t="str">
        <f t="shared" si="17"/>
        <v/>
      </c>
    </row>
    <row r="1113" spans="1:13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 s="2" t="str">
        <f t="shared" si="17"/>
        <v/>
      </c>
    </row>
    <row r="1114" spans="1:13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 s="2" t="str">
        <f t="shared" si="17"/>
        <v/>
      </c>
    </row>
    <row r="1115" spans="1:13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 s="2" t="str">
        <f t="shared" si="17"/>
        <v/>
      </c>
    </row>
    <row r="1116" spans="1:13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 s="2" t="str">
        <f t="shared" si="17"/>
        <v/>
      </c>
    </row>
    <row r="1117" spans="1:13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 s="2" t="str">
        <f t="shared" si="17"/>
        <v/>
      </c>
    </row>
    <row r="1118" spans="1:13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 s="2" t="str">
        <f t="shared" si="17"/>
        <v/>
      </c>
    </row>
    <row r="1119" spans="1:13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 s="2" t="str">
        <f t="shared" si="17"/>
        <v/>
      </c>
    </row>
    <row r="1120" spans="1:13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 s="2" t="str">
        <f t="shared" si="17"/>
        <v/>
      </c>
    </row>
    <row r="1121" spans="1:13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 s="2" t="str">
        <f t="shared" si="17"/>
        <v/>
      </c>
    </row>
    <row r="1122" spans="1:13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 s="2" t="str">
        <f t="shared" si="17"/>
        <v/>
      </c>
    </row>
    <row r="1123" spans="1:13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 s="2" t="str">
        <f t="shared" si="17"/>
        <v/>
      </c>
    </row>
    <row r="1124" spans="1:13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 s="2" t="str">
        <f t="shared" si="17"/>
        <v/>
      </c>
    </row>
    <row r="1125" spans="1:13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 s="2" t="str">
        <f t="shared" si="17"/>
        <v/>
      </c>
    </row>
    <row r="1126" spans="1:13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 s="2" t="str">
        <f t="shared" si="17"/>
        <v/>
      </c>
    </row>
    <row r="1127" spans="1:13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 s="2" t="str">
        <f t="shared" si="17"/>
        <v/>
      </c>
    </row>
    <row r="1128" spans="1:13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 s="2" t="str">
        <f t="shared" si="17"/>
        <v/>
      </c>
    </row>
    <row r="1129" spans="1:13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 s="2" t="str">
        <f t="shared" si="17"/>
        <v/>
      </c>
    </row>
    <row r="1130" spans="1:13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 s="2" t="str">
        <f t="shared" si="17"/>
        <v/>
      </c>
    </row>
    <row r="1131" spans="1:13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 s="2" t="str">
        <f t="shared" si="17"/>
        <v/>
      </c>
    </row>
    <row r="1132" spans="1:13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 s="2" t="str">
        <f t="shared" si="17"/>
        <v/>
      </c>
    </row>
    <row r="1133" spans="1:13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 s="2" t="str">
        <f t="shared" si="17"/>
        <v/>
      </c>
    </row>
    <row r="1134" spans="1:13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 s="2" t="str">
        <f t="shared" si="17"/>
        <v/>
      </c>
    </row>
    <row r="1135" spans="1:13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 s="2" t="str">
        <f t="shared" si="17"/>
        <v/>
      </c>
    </row>
    <row r="1136" spans="1:13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 s="2" t="str">
        <f t="shared" si="17"/>
        <v/>
      </c>
    </row>
    <row r="1137" spans="1:13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 s="2" t="str">
        <f t="shared" si="17"/>
        <v/>
      </c>
    </row>
    <row r="1138" spans="1:13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 s="2" t="str">
        <f t="shared" si="17"/>
        <v/>
      </c>
    </row>
    <row r="1139" spans="1:13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 s="2" t="str">
        <f t="shared" si="17"/>
        <v/>
      </c>
    </row>
    <row r="1140" spans="1:13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 s="2" t="str">
        <f t="shared" si="17"/>
        <v/>
      </c>
    </row>
    <row r="1141" spans="1:13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 s="2" t="str">
        <f t="shared" si="17"/>
        <v/>
      </c>
    </row>
    <row r="1142" spans="1:13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 s="2" t="str">
        <f t="shared" si="17"/>
        <v/>
      </c>
    </row>
    <row r="1143" spans="1:13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 s="2" t="str">
        <f t="shared" si="17"/>
        <v/>
      </c>
    </row>
    <row r="1144" spans="1:13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 s="2" t="str">
        <f t="shared" si="17"/>
        <v/>
      </c>
    </row>
    <row r="1145" spans="1:13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 s="2" t="str">
        <f t="shared" si="17"/>
        <v/>
      </c>
    </row>
    <row r="1146" spans="1:13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 s="2" t="str">
        <f t="shared" si="17"/>
        <v/>
      </c>
    </row>
    <row r="1147" spans="1:13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 s="2" t="str">
        <f t="shared" si="17"/>
        <v/>
      </c>
    </row>
    <row r="1148" spans="1:13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 s="2" t="str">
        <f t="shared" si="17"/>
        <v/>
      </c>
    </row>
    <row r="1149" spans="1:13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 s="2" t="str">
        <f t="shared" si="17"/>
        <v/>
      </c>
    </row>
    <row r="1150" spans="1:13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 s="2" t="str">
        <f t="shared" si="17"/>
        <v/>
      </c>
    </row>
    <row r="1151" spans="1:13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 s="2" t="str">
        <f t="shared" si="17"/>
        <v/>
      </c>
    </row>
    <row r="1152" spans="1:13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 s="2" t="str">
        <f t="shared" si="17"/>
        <v/>
      </c>
    </row>
    <row r="1153" spans="1:13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 s="2" t="str">
        <f t="shared" si="17"/>
        <v/>
      </c>
    </row>
    <row r="1154" spans="1:13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 s="2" t="str">
        <f t="shared" si="17"/>
        <v/>
      </c>
    </row>
    <row r="1155" spans="1:13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 s="2" t="str">
        <f t="shared" ref="M1155:M1209" si="18">IF(H1155&gt;0,I1155,"")</f>
        <v/>
      </c>
    </row>
    <row r="1156" spans="1:13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 s="2" t="str">
        <f t="shared" si="18"/>
        <v/>
      </c>
    </row>
    <row r="1157" spans="1:13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 s="2" t="str">
        <f t="shared" si="18"/>
        <v/>
      </c>
    </row>
    <row r="1158" spans="1:13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 s="2" t="str">
        <f t="shared" si="18"/>
        <v/>
      </c>
    </row>
    <row r="1159" spans="1:13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 s="2" t="str">
        <f t="shared" si="18"/>
        <v/>
      </c>
    </row>
    <row r="1160" spans="1:13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 s="2" t="str">
        <f t="shared" si="18"/>
        <v/>
      </c>
    </row>
    <row r="1161" spans="1:13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 s="2" t="str">
        <f t="shared" si="18"/>
        <v/>
      </c>
    </row>
    <row r="1162" spans="1:13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 s="2" t="str">
        <f t="shared" si="18"/>
        <v/>
      </c>
    </row>
    <row r="1163" spans="1:13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 s="2" t="str">
        <f t="shared" si="18"/>
        <v/>
      </c>
    </row>
    <row r="1164" spans="1:13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 s="2" t="str">
        <f t="shared" si="18"/>
        <v/>
      </c>
    </row>
    <row r="1165" spans="1:13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 s="2" t="str">
        <f t="shared" si="18"/>
        <v/>
      </c>
    </row>
    <row r="1166" spans="1:13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 s="2" t="str">
        <f t="shared" si="18"/>
        <v/>
      </c>
    </row>
    <row r="1167" spans="1:13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 s="2" t="str">
        <f t="shared" si="18"/>
        <v/>
      </c>
    </row>
    <row r="1168" spans="1:13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 s="2" t="str">
        <f t="shared" si="18"/>
        <v/>
      </c>
    </row>
    <row r="1169" spans="1:13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 s="2" t="str">
        <f t="shared" si="18"/>
        <v/>
      </c>
    </row>
    <row r="1170" spans="1:13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 s="2" t="str">
        <f t="shared" si="18"/>
        <v/>
      </c>
    </row>
    <row r="1171" spans="1:13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 s="2" t="str">
        <f t="shared" si="18"/>
        <v/>
      </c>
    </row>
    <row r="1172" spans="1:13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 s="2" t="str">
        <f t="shared" si="18"/>
        <v/>
      </c>
    </row>
    <row r="1173" spans="1:13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 s="2" t="str">
        <f t="shared" si="18"/>
        <v/>
      </c>
    </row>
    <row r="1174" spans="1:13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 s="2" t="str">
        <f t="shared" si="18"/>
        <v/>
      </c>
    </row>
    <row r="1175" spans="1:13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 s="2" t="str">
        <f t="shared" si="18"/>
        <v/>
      </c>
    </row>
    <row r="1176" spans="1:13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 s="2" t="str">
        <f t="shared" si="18"/>
        <v/>
      </c>
    </row>
    <row r="1177" spans="1:13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 s="2" t="str">
        <f t="shared" si="18"/>
        <v/>
      </c>
    </row>
    <row r="1178" spans="1:13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 s="2" t="str">
        <f t="shared" si="18"/>
        <v/>
      </c>
    </row>
    <row r="1179" spans="1:13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 s="2" t="str">
        <f t="shared" si="18"/>
        <v/>
      </c>
    </row>
    <row r="1180" spans="1:13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 s="2" t="str">
        <f t="shared" si="18"/>
        <v/>
      </c>
    </row>
    <row r="1181" spans="1:13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 s="2" t="str">
        <f t="shared" si="18"/>
        <v/>
      </c>
    </row>
    <row r="1182" spans="1:13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 s="2" t="str">
        <f t="shared" si="18"/>
        <v/>
      </c>
    </row>
    <row r="1183" spans="1:13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 s="2" t="str">
        <f t="shared" si="18"/>
        <v/>
      </c>
    </row>
    <row r="1184" spans="1:13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 s="2" t="str">
        <f t="shared" si="18"/>
        <v/>
      </c>
    </row>
    <row r="1185" spans="1:13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 s="2" t="str">
        <f t="shared" si="18"/>
        <v/>
      </c>
    </row>
    <row r="1186" spans="1:13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 s="2" t="str">
        <f t="shared" si="18"/>
        <v/>
      </c>
    </row>
    <row r="1187" spans="1:13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 s="2" t="str">
        <f t="shared" si="18"/>
        <v/>
      </c>
    </row>
    <row r="1188" spans="1:13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 s="2" t="str">
        <f t="shared" si="18"/>
        <v/>
      </c>
    </row>
    <row r="1189" spans="1:13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 s="2" t="str">
        <f t="shared" si="18"/>
        <v/>
      </c>
    </row>
    <row r="1190" spans="1:13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 s="2" t="str">
        <f t="shared" si="18"/>
        <v/>
      </c>
    </row>
    <row r="1191" spans="1:13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 s="2" t="str">
        <f t="shared" si="18"/>
        <v/>
      </c>
    </row>
    <row r="1192" spans="1:13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 s="2" t="str">
        <f t="shared" si="18"/>
        <v/>
      </c>
    </row>
    <row r="1193" spans="1:13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 s="2" t="str">
        <f t="shared" si="18"/>
        <v/>
      </c>
    </row>
    <row r="1194" spans="1:13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 s="2" t="str">
        <f t="shared" si="18"/>
        <v/>
      </c>
    </row>
    <row r="1195" spans="1:13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 s="2" t="str">
        <f t="shared" si="18"/>
        <v/>
      </c>
    </row>
    <row r="1196" spans="1:13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 s="2" t="str">
        <f t="shared" si="18"/>
        <v/>
      </c>
    </row>
    <row r="1197" spans="1:13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 s="2" t="str">
        <f t="shared" si="18"/>
        <v/>
      </c>
    </row>
    <row r="1198" spans="1:13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 s="2" t="str">
        <f t="shared" si="18"/>
        <v/>
      </c>
    </row>
    <row r="1199" spans="1:13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 s="2" t="str">
        <f t="shared" si="18"/>
        <v/>
      </c>
    </row>
    <row r="1200" spans="1:13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 s="2" t="str">
        <f t="shared" si="18"/>
        <v/>
      </c>
    </row>
    <row r="1201" spans="1:13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 s="2" t="str">
        <f t="shared" si="18"/>
        <v/>
      </c>
    </row>
    <row r="1202" spans="1:13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 s="2" t="str">
        <f t="shared" si="18"/>
        <v/>
      </c>
    </row>
    <row r="1203" spans="1:13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 s="2" t="str">
        <f t="shared" si="18"/>
        <v/>
      </c>
    </row>
    <row r="1204" spans="1:13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 s="2" t="str">
        <f t="shared" si="18"/>
        <v/>
      </c>
    </row>
    <row r="1205" spans="1:13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 s="2" t="str">
        <f t="shared" si="18"/>
        <v/>
      </c>
    </row>
    <row r="1206" spans="1:13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 s="2" t="str">
        <f t="shared" si="18"/>
        <v/>
      </c>
    </row>
    <row r="1207" spans="1:13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 s="2" t="str">
        <f t="shared" si="18"/>
        <v/>
      </c>
    </row>
    <row r="1208" spans="1:13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 s="2" t="str">
        <f t="shared" si="18"/>
        <v/>
      </c>
    </row>
    <row r="1209" spans="1:13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 s="2" t="str">
        <f t="shared" si="18"/>
        <v/>
      </c>
    </row>
    <row r="1210" spans="1:13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</row>
    <row r="1211" spans="1:13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</row>
    <row r="1212" spans="1:13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</row>
    <row r="1213" spans="1:13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</row>
    <row r="1214" spans="1:13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</row>
    <row r="1215" spans="1:13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</row>
    <row r="1216" spans="1:13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</row>
    <row r="1217" spans="1:12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</row>
    <row r="1218" spans="1:12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</row>
    <row r="1219" spans="1:12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</row>
    <row r="1220" spans="1:12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</row>
    <row r="1221" spans="1:12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</row>
    <row r="1222" spans="1:12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</row>
    <row r="1223" spans="1:12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</row>
    <row r="1224" spans="1:12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</row>
    <row r="1225" spans="1:12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</row>
    <row r="1226" spans="1:12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</row>
    <row r="1227" spans="1:12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</row>
    <row r="1228" spans="1:12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</row>
    <row r="1229" spans="1:12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</row>
    <row r="1230" spans="1:12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</row>
    <row r="1231" spans="1:12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</row>
    <row r="1232" spans="1:12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</row>
    <row r="1233" spans="1:12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</row>
    <row r="1234" spans="1:12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</row>
    <row r="1235" spans="1:12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</row>
    <row r="1236" spans="1:12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</row>
    <row r="1237" spans="1:12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</row>
    <row r="1238" spans="1:12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</row>
    <row r="1239" spans="1:12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</row>
    <row r="1240" spans="1:12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</row>
    <row r="1241" spans="1:12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</row>
    <row r="1242" spans="1:12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</row>
    <row r="1243" spans="1:12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</row>
    <row r="1244" spans="1:12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</row>
    <row r="1245" spans="1:12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</row>
    <row r="1246" spans="1:12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</row>
    <row r="1247" spans="1:12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</row>
    <row r="1248" spans="1:12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</row>
    <row r="1249" spans="1:12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</row>
    <row r="1250" spans="1:12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</row>
    <row r="1251" spans="1:12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</row>
    <row r="1252" spans="1:12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</row>
    <row r="1253" spans="1:12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</row>
    <row r="1254" spans="1:12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</row>
    <row r="1255" spans="1:12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</row>
    <row r="1256" spans="1:12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</row>
    <row r="1257" spans="1:12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</row>
    <row r="1258" spans="1:12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</row>
    <row r="1259" spans="1:12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</row>
    <row r="1260" spans="1:12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</row>
    <row r="1261" spans="1:12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</row>
    <row r="1262" spans="1:12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</row>
    <row r="1263" spans="1:12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</row>
    <row r="1264" spans="1:12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</row>
    <row r="1265" spans="1:12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</row>
    <row r="1266" spans="1:12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</row>
    <row r="1267" spans="1:12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</row>
    <row r="1268" spans="1:12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</row>
    <row r="1269" spans="1:12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</row>
    <row r="1270" spans="1:12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</row>
    <row r="1271" spans="1:12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</row>
    <row r="1272" spans="1:12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</row>
    <row r="1273" spans="1:12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</row>
    <row r="1274" spans="1:12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</row>
    <row r="1275" spans="1:12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</row>
    <row r="1276" spans="1:12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</row>
    <row r="1277" spans="1:12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</row>
    <row r="1278" spans="1:12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</row>
    <row r="1279" spans="1:12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</row>
    <row r="1280" spans="1:12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</row>
    <row r="1281" spans="1:12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</row>
    <row r="1282" spans="1:12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</row>
    <row r="1283" spans="1:12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</row>
    <row r="1284" spans="1:12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</row>
    <row r="1285" spans="1:12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</row>
    <row r="1286" spans="1:12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</row>
    <row r="1287" spans="1:12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</row>
    <row r="1288" spans="1:12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</row>
    <row r="1289" spans="1:12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</row>
    <row r="1290" spans="1:12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</row>
    <row r="1291" spans="1:12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</row>
    <row r="1292" spans="1:12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</row>
    <row r="1293" spans="1:12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</row>
    <row r="1294" spans="1:12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</row>
    <row r="1295" spans="1:12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</row>
    <row r="1296" spans="1:12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</row>
    <row r="1297" spans="1:12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</row>
    <row r="1298" spans="1:12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</row>
    <row r="1299" spans="1:12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</row>
    <row r="1300" spans="1:12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</row>
    <row r="1301" spans="1:12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</row>
    <row r="1302" spans="1:12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</row>
    <row r="1303" spans="1:12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</row>
    <row r="1304" spans="1:12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</row>
    <row r="1305" spans="1:12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</row>
    <row r="1306" spans="1:12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</row>
    <row r="1307" spans="1:12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</row>
    <row r="1308" spans="1:12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</row>
    <row r="1309" spans="1:12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</row>
    <row r="1310" spans="1:12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</row>
    <row r="1311" spans="1:12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</row>
    <row r="1312" spans="1:12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</row>
    <row r="1313" spans="1:12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</row>
    <row r="1314" spans="1:12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</row>
    <row r="1315" spans="1:12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</row>
    <row r="1316" spans="1:12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</row>
    <row r="1317" spans="1:12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</row>
    <row r="1318" spans="1:12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</row>
    <row r="1319" spans="1:12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</row>
    <row r="1320" spans="1:12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</row>
    <row r="1321" spans="1:12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</row>
    <row r="1322" spans="1:12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</row>
    <row r="1323" spans="1:12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</row>
    <row r="1324" spans="1:12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</row>
    <row r="1325" spans="1:12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</row>
    <row r="1326" spans="1:12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</row>
    <row r="1327" spans="1:12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</row>
    <row r="1328" spans="1:12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</row>
    <row r="1329" spans="1:12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</row>
    <row r="1330" spans="1:12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</row>
    <row r="1331" spans="1:12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</row>
    <row r="1332" spans="1:12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</row>
    <row r="1333" spans="1:12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</row>
    <row r="1334" spans="1:12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</row>
    <row r="1335" spans="1:12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</row>
    <row r="1336" spans="1:12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</row>
    <row r="1337" spans="1:12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</row>
    <row r="1338" spans="1:12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</row>
    <row r="1339" spans="1:12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</row>
    <row r="1340" spans="1:12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</row>
    <row r="1341" spans="1:12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</row>
    <row r="1342" spans="1:12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</row>
    <row r="1343" spans="1:12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</row>
    <row r="1344" spans="1:12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</row>
    <row r="1345" spans="1:12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</row>
    <row r="1346" spans="1:12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</row>
    <row r="1347" spans="1:12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</row>
    <row r="1348" spans="1:12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</row>
    <row r="1349" spans="1:12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</row>
    <row r="1350" spans="1:12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</row>
    <row r="1351" spans="1:12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</row>
    <row r="1352" spans="1:12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</row>
    <row r="1353" spans="1:12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</row>
    <row r="1354" spans="1:12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</row>
    <row r="1355" spans="1:12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</row>
    <row r="1356" spans="1:12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</row>
    <row r="1357" spans="1:12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</row>
    <row r="1358" spans="1:12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</row>
    <row r="1359" spans="1:12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</row>
    <row r="1360" spans="1:12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</row>
    <row r="1361" spans="1:12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</row>
    <row r="1362" spans="1:12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</row>
    <row r="1363" spans="1:12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</row>
    <row r="1364" spans="1:12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</row>
    <row r="1365" spans="1:12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</row>
    <row r="1366" spans="1:12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</row>
    <row r="1367" spans="1:12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</row>
    <row r="1368" spans="1:12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</row>
    <row r="1369" spans="1:12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</row>
    <row r="1370" spans="1:12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</row>
    <row r="1371" spans="1:12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</row>
    <row r="1372" spans="1:12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</row>
    <row r="1373" spans="1:12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</row>
    <row r="1374" spans="1:12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</row>
    <row r="1375" spans="1:12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</row>
    <row r="1376" spans="1:12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</row>
    <row r="1377" spans="1:12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</row>
    <row r="1378" spans="1:12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</row>
    <row r="1379" spans="1:12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</row>
    <row r="1380" spans="1:12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</row>
    <row r="1381" spans="1:12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</row>
    <row r="1382" spans="1:12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</row>
    <row r="1383" spans="1:12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</row>
    <row r="1384" spans="1:12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</row>
    <row r="1385" spans="1:12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</row>
    <row r="1386" spans="1:12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</row>
    <row r="1387" spans="1:12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</row>
    <row r="1388" spans="1:12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</row>
    <row r="1389" spans="1:12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</row>
    <row r="1390" spans="1:12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</row>
    <row r="1391" spans="1:12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</row>
    <row r="1392" spans="1:12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</row>
    <row r="1393" spans="1:12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</row>
    <row r="1394" spans="1:12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</row>
    <row r="1395" spans="1:12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</row>
    <row r="1396" spans="1:12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</row>
    <row r="1397" spans="1:12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</row>
    <row r="1398" spans="1:12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</row>
    <row r="1399" spans="1:12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</row>
    <row r="1400" spans="1:12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</row>
    <row r="1401" spans="1:12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</row>
    <row r="1402" spans="1:12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</row>
    <row r="1403" spans="1:12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</row>
    <row r="1404" spans="1:12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</row>
    <row r="1405" spans="1:12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</row>
    <row r="1406" spans="1:12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</row>
    <row r="1407" spans="1:12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</row>
    <row r="1408" spans="1:12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</row>
    <row r="1409" spans="1:12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</row>
    <row r="1410" spans="1:12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</row>
    <row r="1411" spans="1:12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</row>
    <row r="1412" spans="1:12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</row>
    <row r="1413" spans="1:12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</row>
    <row r="1414" spans="1:12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</row>
    <row r="1415" spans="1:12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</row>
    <row r="1416" spans="1:12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</row>
    <row r="1417" spans="1:12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</row>
    <row r="1418" spans="1:12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</row>
    <row r="1419" spans="1:12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</row>
    <row r="1420" spans="1:12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</row>
    <row r="1421" spans="1:12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</row>
    <row r="1422" spans="1:12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</row>
    <row r="1423" spans="1:12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</row>
    <row r="1424" spans="1:12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</row>
    <row r="1425" spans="1:12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</row>
    <row r="1426" spans="1:12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</row>
    <row r="1427" spans="1:12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</row>
    <row r="1428" spans="1:12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</row>
    <row r="1429" spans="1:12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</row>
    <row r="1430" spans="1:12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</row>
    <row r="1431" spans="1:12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</row>
    <row r="1432" spans="1:12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</row>
    <row r="1433" spans="1:12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</row>
    <row r="1434" spans="1:12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</row>
    <row r="1435" spans="1:12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</row>
    <row r="1436" spans="1:12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</row>
    <row r="1437" spans="1:12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</row>
    <row r="1438" spans="1:12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</row>
    <row r="1439" spans="1:12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</row>
    <row r="1440" spans="1:12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</row>
    <row r="1441" spans="1:12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</row>
    <row r="1442" spans="1:12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</row>
    <row r="1443" spans="1:12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</row>
    <row r="1444" spans="1:12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</row>
    <row r="1445" spans="1:12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</row>
    <row r="1446" spans="1:12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</row>
    <row r="1447" spans="1:12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</row>
    <row r="1448" spans="1:12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</row>
    <row r="1449" spans="1:12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</row>
    <row r="1450" spans="1:12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</row>
    <row r="1451" spans="1:12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</row>
    <row r="1452" spans="1:12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</row>
    <row r="1453" spans="1:12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</row>
    <row r="1454" spans="1:12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</row>
    <row r="1455" spans="1:12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</row>
    <row r="1456" spans="1:12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</row>
    <row r="1457" spans="1:12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</row>
    <row r="1458" spans="1:12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</row>
    <row r="1459" spans="1:12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</row>
    <row r="1460" spans="1:12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</row>
    <row r="1461" spans="1:12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</row>
    <row r="1462" spans="1:12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</row>
    <row r="1463" spans="1:12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</row>
    <row r="1464" spans="1:12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</row>
    <row r="1465" spans="1:12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</row>
    <row r="1466" spans="1:12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</row>
    <row r="1467" spans="1:12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</row>
    <row r="1468" spans="1:12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</row>
    <row r="1469" spans="1:12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</row>
    <row r="1470" spans="1:12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</row>
    <row r="1471" spans="1:12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</row>
    <row r="1472" spans="1:12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</row>
    <row r="1473" spans="1:12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</row>
    <row r="1474" spans="1:12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</row>
    <row r="1475" spans="1:12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</row>
    <row r="1476" spans="1:12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</row>
    <row r="1477" spans="1:12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</row>
    <row r="1478" spans="1:12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</row>
    <row r="1479" spans="1:12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</row>
    <row r="1480" spans="1:12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</row>
    <row r="1481" spans="1:12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</row>
    <row r="1482" spans="1:12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</row>
    <row r="1483" spans="1:12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</row>
    <row r="1484" spans="1:12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</row>
    <row r="1485" spans="1:12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</row>
    <row r="1486" spans="1:12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</row>
    <row r="1487" spans="1:12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</row>
    <row r="1488" spans="1:12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</row>
    <row r="1489" spans="1:12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</row>
    <row r="1490" spans="1:12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</row>
    <row r="1491" spans="1:12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</row>
    <row r="1492" spans="1:12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</row>
    <row r="1493" spans="1:12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</row>
    <row r="1494" spans="1:12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</row>
    <row r="1495" spans="1:12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</row>
    <row r="1496" spans="1:12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</row>
    <row r="1497" spans="1:12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</row>
    <row r="1498" spans="1:12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</row>
    <row r="1499" spans="1:12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</row>
    <row r="1500" spans="1:12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</row>
    <row r="1501" spans="1:12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</row>
    <row r="1502" spans="1:12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</row>
    <row r="1503" spans="1:12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</row>
    <row r="1504" spans="1:12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</row>
    <row r="1505" spans="1:12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</row>
    <row r="1506" spans="1:12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</row>
    <row r="1507" spans="1:12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</row>
    <row r="1508" spans="1:12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</row>
    <row r="1509" spans="1:12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</row>
    <row r="1510" spans="1:12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</row>
    <row r="1511" spans="1:12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</row>
    <row r="1512" spans="1:12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</row>
    <row r="1513" spans="1:12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</row>
    <row r="1514" spans="1:12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</row>
    <row r="1515" spans="1:12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</row>
    <row r="1516" spans="1:12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</row>
    <row r="1517" spans="1:12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</row>
    <row r="1518" spans="1:12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</row>
    <row r="1519" spans="1:12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</row>
    <row r="1520" spans="1:12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</row>
    <row r="1521" spans="1:12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</row>
    <row r="1522" spans="1:12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</row>
    <row r="1523" spans="1:12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</row>
    <row r="1524" spans="1:12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</row>
    <row r="1525" spans="1:12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</row>
    <row r="1526" spans="1:12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</row>
    <row r="1527" spans="1:12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</row>
    <row r="1528" spans="1:12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</row>
    <row r="1529" spans="1:12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</row>
    <row r="1530" spans="1:12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</row>
    <row r="1531" spans="1:12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</row>
    <row r="1532" spans="1:12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</row>
    <row r="1533" spans="1:12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</row>
    <row r="1534" spans="1:12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</row>
    <row r="1535" spans="1:12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</row>
    <row r="1536" spans="1:12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</row>
    <row r="1537" spans="1:12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</row>
    <row r="1538" spans="1:12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</row>
    <row r="1539" spans="1:12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</row>
    <row r="1540" spans="1:12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</row>
    <row r="1541" spans="1:12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</row>
    <row r="1542" spans="1:12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</row>
    <row r="1543" spans="1:12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</row>
    <row r="1544" spans="1:12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</row>
    <row r="1545" spans="1:12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</row>
    <row r="1546" spans="1:12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</row>
    <row r="1547" spans="1:12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</row>
    <row r="1548" spans="1:12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</row>
    <row r="1549" spans="1:12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</row>
    <row r="1550" spans="1:12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</row>
    <row r="1551" spans="1:12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</row>
    <row r="1552" spans="1:12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</row>
    <row r="1553" spans="1:12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</row>
    <row r="1554" spans="1:12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</row>
    <row r="1555" spans="1:12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</row>
    <row r="1556" spans="1:12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</row>
    <row r="1557" spans="1:12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</row>
    <row r="1558" spans="1:12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</row>
    <row r="1559" spans="1:12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</row>
    <row r="1560" spans="1:12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</row>
    <row r="1561" spans="1:12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</row>
    <row r="1562" spans="1:12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</row>
    <row r="1563" spans="1:12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</row>
    <row r="1564" spans="1:12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</row>
    <row r="1565" spans="1:12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</row>
    <row r="1566" spans="1:12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</row>
    <row r="1567" spans="1:12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</row>
    <row r="1568" spans="1:12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</row>
    <row r="1569" spans="1:12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</row>
    <row r="1570" spans="1:12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</row>
    <row r="1571" spans="1:12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</row>
    <row r="1572" spans="1:12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</row>
    <row r="1573" spans="1:12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</row>
    <row r="1574" spans="1:12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</row>
    <row r="1575" spans="1:12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</row>
    <row r="1576" spans="1:12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</row>
    <row r="1577" spans="1:12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</row>
    <row r="1578" spans="1:12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</row>
    <row r="1579" spans="1:12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</row>
    <row r="1580" spans="1:12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</row>
    <row r="1581" spans="1:12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</row>
    <row r="1582" spans="1:12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</row>
    <row r="1583" spans="1:12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</row>
    <row r="1584" spans="1:12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</row>
    <row r="1585" spans="1:12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</row>
    <row r="1586" spans="1:12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</row>
    <row r="1587" spans="1:12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</row>
    <row r="1588" spans="1:12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</row>
    <row r="1589" spans="1:12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</row>
    <row r="1590" spans="1:12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</row>
    <row r="1591" spans="1:12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06C6F4-9D0B-4946-8AFA-D13DB61F51C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Friday Report</vt:lpstr>
      <vt:lpstr>Info Pivot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Subrt, Richard</dc:creator>
  <cp:lastModifiedBy>Subrt, Richard</cp:lastModifiedBy>
  <dcterms:created xsi:type="dcterms:W3CDTF">2015-06-05T18:17:20Z</dcterms:created>
  <dcterms:modified xsi:type="dcterms:W3CDTF">2025-02-28T12:21:45Z</dcterms:modified>
</cp:coreProperties>
</file>