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https://sap-my.sharepoint.com/personal/richard_subrt_sap_com/Documents/Plocha/Templates/Richard all working/"/>
    </mc:Choice>
  </mc:AlternateContent>
  <xr:revisionPtr revIDLastSave="654" documentId="8_{C08205AD-79B7-4B02-875A-A0033BEE7787}" xr6:coauthVersionLast="47" xr6:coauthVersionMax="47" xr10:uidLastSave="{370E0877-993D-4ACF-A928-8C2BE7994DA0}"/>
  <bookViews>
    <workbookView xWindow="-120" yWindow="-120" windowWidth="29040" windowHeight="15720" xr2:uid="{00000000-000D-0000-FFFF-FFFF00000000}"/>
  </bookViews>
  <sheets>
    <sheet name="Sheet1" sheetId="1" r:id="rId1"/>
    <sheet name="Dispute case Regel" sheetId="3" r:id="rId2"/>
    <sheet name="Sheet2"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 l="1"/>
  <c r="G10" i="2"/>
  <c r="B11" i="1"/>
  <c r="G5" i="2"/>
  <c r="G6" i="2"/>
  <c r="G7" i="2"/>
  <c r="G8" i="2"/>
  <c r="G9" i="2"/>
  <c r="G11" i="2"/>
  <c r="G12" i="2"/>
  <c r="G13" i="2"/>
  <c r="G14" i="2"/>
  <c r="G15" i="2"/>
  <c r="G4" i="2"/>
</calcChain>
</file>

<file path=xl/sharedStrings.xml><?xml version="1.0" encoding="utf-8"?>
<sst xmlns="http://schemas.openxmlformats.org/spreadsheetml/2006/main" count="163" uniqueCount="145">
  <si>
    <t>Ref Document Number</t>
  </si>
  <si>
    <t>Data</t>
  </si>
  <si>
    <t>Headers</t>
  </si>
  <si>
    <t>I547640</t>
  </si>
  <si>
    <t>Cathegories</t>
  </si>
  <si>
    <t>Cathegory</t>
  </si>
  <si>
    <t>Person Responsible</t>
  </si>
  <si>
    <t>Status</t>
  </si>
  <si>
    <t>'RoDC: In Process for O2I'</t>
  </si>
  <si>
    <t>'NGBC: On Hold for O2I'</t>
  </si>
  <si>
    <t>'RoDC: Bankruptcy/Insolvent'</t>
  </si>
  <si>
    <t>'RoDC: Closed/Confirmed'</t>
  </si>
  <si>
    <t>'RoDC: Credit Balance'</t>
  </si>
  <si>
    <t>'RoDC: In Process for Approvers'</t>
  </si>
  <si>
    <t>'RoDC: In Process for CC'</t>
  </si>
  <si>
    <t>'RoDC: In Process for Customer'</t>
  </si>
  <si>
    <t>'NGBC: In Process for DID'</t>
  </si>
  <si>
    <t>'RoDC: Legal/Highly Escalated Cases'</t>
  </si>
  <si>
    <t>'RoDC: New'</t>
  </si>
  <si>
    <t>'RoDC: Termination'</t>
  </si>
  <si>
    <t>Note Text</t>
  </si>
  <si>
    <t>Priority</t>
  </si>
  <si>
    <t xml:space="preserve">Medium </t>
  </si>
  <si>
    <t>High</t>
  </si>
  <si>
    <t>Reason</t>
  </si>
  <si>
    <t>Z000</t>
  </si>
  <si>
    <t>Default (NGBC: FI-CA)</t>
  </si>
  <si>
    <t>Z010</t>
  </si>
  <si>
    <t>Address/Name Change (NGBC: FI-CA)</t>
  </si>
  <si>
    <t>Z020</t>
  </si>
  <si>
    <t>Purchase Order Update Needed (NGBC: FI-CA)</t>
  </si>
  <si>
    <t>Z040</t>
  </si>
  <si>
    <t>Double invoicing (NGBC: FI-CA)</t>
  </si>
  <si>
    <t>Z202</t>
  </si>
  <si>
    <t>Training Participation (NGBC: FI-CA)</t>
  </si>
  <si>
    <t>Z205</t>
  </si>
  <si>
    <t>Contract Cancelled (NGBC: FI-CA)</t>
  </si>
  <si>
    <t>Z207</t>
  </si>
  <si>
    <t>Invoice Currency (NGBC: FI-CA)</t>
  </si>
  <si>
    <t>Z209</t>
  </si>
  <si>
    <t>VAT/Tax (NGBC: FI-CA)</t>
  </si>
  <si>
    <t>Z212</t>
  </si>
  <si>
    <t>OBSOLETE: SAP Mobile Services - Messaging (NGBC: FI-CA)</t>
  </si>
  <si>
    <t>Z215</t>
  </si>
  <si>
    <t>Legal/Settlement (NGBC: FI-CA)</t>
  </si>
  <si>
    <t>Z216</t>
  </si>
  <si>
    <t>Invoice Format (NGBC: FI-CA)</t>
  </si>
  <si>
    <t>Z217</t>
  </si>
  <si>
    <t>Product/Service Dissatisfaction (NGBC: FI-CA)</t>
  </si>
  <si>
    <t>Z218</t>
  </si>
  <si>
    <t>CPI (NGBC: FI-CA)</t>
  </si>
  <si>
    <t>Z220</t>
  </si>
  <si>
    <t>Financing/Payment Services (NGBC: FI-CA)</t>
  </si>
  <si>
    <t>Z230</t>
  </si>
  <si>
    <t>CPEA Overage (NGBC: FI-CA)</t>
  </si>
  <si>
    <t>Z231</t>
  </si>
  <si>
    <t>New Dispute (Dispute creator to select correct reason) (NGBC</t>
  </si>
  <si>
    <t>Z232</t>
  </si>
  <si>
    <t>Contract Transfer (NGBC: FI-CA)</t>
  </si>
  <si>
    <t>Z233</t>
  </si>
  <si>
    <t>Invoice Delivery Date (NGBC: FI-CA)</t>
  </si>
  <si>
    <t>Z234</t>
  </si>
  <si>
    <t>Concession Approved (NGBC: FI-CA)</t>
  </si>
  <si>
    <t>Z235</t>
  </si>
  <si>
    <t>Invoice To Contract Inconsistency (Other) (NGBC: FI-CA)</t>
  </si>
  <si>
    <t>Z236</t>
  </si>
  <si>
    <t>OBSOLETE: Cost Rejected (Cons/Edu) (NGBC: FI-CA)</t>
  </si>
  <si>
    <t>Z237</t>
  </si>
  <si>
    <t>Invoice Not Delivered on Portal (NGBC: FI-CA)</t>
  </si>
  <si>
    <t>Z238</t>
  </si>
  <si>
    <t>OBSOLETE:Supporting Documentation (Cons/Edu) (NGBC: FI-CA))</t>
  </si>
  <si>
    <t>Z239</t>
  </si>
  <si>
    <t>Credit Card/Direct Debit (NGBC: FI-CA)</t>
  </si>
  <si>
    <t>Z240</t>
  </si>
  <si>
    <t>Invoice Value (NGBC: FI-CA)</t>
  </si>
  <si>
    <t>Z241</t>
  </si>
  <si>
    <t>Invoice Payment Terms (NGBC: FI-CA)</t>
  </si>
  <si>
    <t>Z242</t>
  </si>
  <si>
    <t>Invoice Period/Coverage (NGBC: FI-CA)</t>
  </si>
  <si>
    <t>Z999</t>
  </si>
  <si>
    <t>Other (NGBC: FI-CA)</t>
  </si>
  <si>
    <t>Contact Customer</t>
  </si>
  <si>
    <t>Contact Customer Email</t>
  </si>
  <si>
    <t>Contact Customer Number</t>
  </si>
  <si>
    <t>Attachment Name</t>
  </si>
  <si>
    <t>I339382</t>
  </si>
  <si>
    <t>I506842 </t>
  </si>
  <si>
    <t>Victoria Goliste</t>
  </si>
  <si>
    <t>Lucca Alonso</t>
  </si>
  <si>
    <t xml:space="preserve">I566206 </t>
  </si>
  <si>
    <t xml:space="preserve"> I552415</t>
  </si>
  <si>
    <t>Tereza Libalova</t>
  </si>
  <si>
    <t>Veronika Cataiova</t>
  </si>
  <si>
    <t>Algin Abanilla</t>
  </si>
  <si>
    <t>C5373280</t>
  </si>
  <si>
    <t>I517741</t>
  </si>
  <si>
    <t>Jan Saral</t>
  </si>
  <si>
    <t>Cloud</t>
  </si>
  <si>
    <t>Training CH</t>
  </si>
  <si>
    <t>Training AT</t>
  </si>
  <si>
    <t>Training  DE</t>
  </si>
  <si>
    <t>DID Team</t>
  </si>
  <si>
    <t xml:space="preserve">CPEA Overage </t>
  </si>
  <si>
    <t>On Prem</t>
  </si>
  <si>
    <t>Consulting</t>
  </si>
  <si>
    <t>Cloud (RoDC: FI-CA)</t>
  </si>
  <si>
    <t>Maintenance (RoDC: FI-CA)</t>
  </si>
  <si>
    <t>Consulting (RoDC: FI-CA)</t>
  </si>
  <si>
    <t>Messaging (RoDC: FI-CA)</t>
  </si>
  <si>
    <t>Others (RoDC: FI-CA)</t>
  </si>
  <si>
    <t>Software (RoDC: FI-CA)</t>
  </si>
  <si>
    <t>Training (RoDC: FI-CA)</t>
  </si>
  <si>
    <t>Low</t>
  </si>
  <si>
    <t>Very high</t>
  </si>
  <si>
    <t>Cons. Onprem Pers. Resp.</t>
  </si>
  <si>
    <t>RoDC: In Process for O2I</t>
  </si>
  <si>
    <t>Manual Input</t>
  </si>
  <si>
    <t>ID Rechnungsersteller</t>
  </si>
  <si>
    <t>Dispute Case umstellen:</t>
  </si>
  <si>
    <t>Coordinator bleiben wir, also unsere ID bleibt drin</t>
  </si>
  <si>
    <t>Status: In Process for 02I</t>
  </si>
  <si>
    <t>Person Responsible: ID Rechnungsersteller</t>
  </si>
  <si>
    <t>Bei HYBILL_BATCH bitte im SD Dokument nach dem Rechnungsersteller schauen.</t>
  </si>
  <si>
    <t>In letzter Zeit gibt es häufig SAP Store Consultingrechnungen. Diese bitte an Kieu Nga Dao I746225 umstellen.</t>
  </si>
  <si>
    <t>Die Abschlusskommunikation an den Kunden soll von O2I erfolgen.</t>
  </si>
  <si>
    <t>Wenn keine  Abschlusskommunikation an den Kunden erfolgt ist, dann bitte an Annika, Zoltan oder Heiko wenden.</t>
  </si>
  <si>
    <t>Manager: Jana Sidorova und Stepan Hallada</t>
  </si>
  <si>
    <t>Education </t>
  </si>
  <si>
    <t>Person Responsible: Die 3 SPOCS für DE, AT und CH</t>
  </si>
  <si>
    <t>DE: Victoria Goliste I506842 </t>
  </si>
  <si>
    <t xml:space="preserve">AT: Lucca Alonso I566206 </t>
  </si>
  <si>
    <t>CH: Tereza Libalova I552415</t>
  </si>
  <si>
    <t>Manager: Sabine Berg</t>
  </si>
  <si>
    <t>Inhouse Schulungsrechnungen nicht an die Kollegen umstellen sondern per Mail an cst.dach@sap.com</t>
  </si>
  <si>
    <t>On Prem </t>
  </si>
  <si>
    <t>Person Responsible: SPOC Veronika Cataiova (I339382)</t>
  </si>
  <si>
    <t>Status: In Process for O2I</t>
  </si>
  <si>
    <t>Manager: Lisa Celikov</t>
  </si>
  <si>
    <t>Alle DACH Cloud Dispute Cases auf Algin Abanilla (I547640) umstellen.</t>
  </si>
  <si>
    <t>Sie ist ab 12.01.2024 der Dispute Koordinator für Cloud und wird die Disputes verteilen.</t>
  </si>
  <si>
    <t>Manager: Nidia Miguel</t>
  </si>
  <si>
    <t>comms.msg</t>
  </si>
  <si>
    <t>robert.herrmann@georgfischer.com</t>
  </si>
  <si>
    <t>Robert Hermann</t>
  </si>
  <si>
    <t xml:space="preserve">Dear team, please see the attached communication concerning the termination of contract 3062746908, as such all invoices with invoice periods are to be waived and all invoices resulting from 3062746908 are to have their billing periods adjusted to end on December 4th. 
CRF request 5000268976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</si>
</sst>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name val="Calibri"/>
      <family val="2"/>
      <scheme val="minor"/>
    </font>
    <font>
      <sz val="12"/>
      <color rgb="FF000000"/>
      <name val="Calibri"/>
      <family val="2"/>
      <scheme val="minor"/>
    </font>
    <font>
      <sz val="12"/>
      <color theme="1"/>
      <name val="Calibri"/>
      <family val="2"/>
      <scheme val="minor"/>
    </font>
    <font>
      <u/>
      <sz val="11"/>
      <color theme="10"/>
      <name val="Calibri"/>
      <family val="2"/>
      <scheme val="minor"/>
    </font>
    <font>
      <sz val="36"/>
      <color rgb="FF000000"/>
      <name val="Calibri"/>
      <family val="2"/>
    </font>
    <font>
      <sz val="11"/>
      <color rgb="FF3F3F76"/>
      <name val="Calibri"/>
      <family val="2"/>
      <charset val="238"/>
      <scheme val="minor"/>
    </font>
    <font>
      <b/>
      <sz val="12"/>
      <name val="Calibri"/>
      <family val="2"/>
      <scheme val="minor"/>
    </font>
    <font>
      <sz val="8"/>
      <color rgb="FF000000"/>
      <name val="Calibri"/>
      <family val="2"/>
      <scheme val="minor"/>
    </font>
    <font>
      <sz val="10"/>
      <color rgb="FF00518A"/>
      <name val="Arial"/>
      <family val="2"/>
    </font>
    <font>
      <u/>
      <sz val="10"/>
      <color rgb="FF00518A"/>
      <name val="Arial"/>
      <family val="2"/>
    </font>
    <font>
      <b/>
      <u/>
      <sz val="10"/>
      <color rgb="FFFF0000"/>
      <name val="Arial"/>
      <family val="2"/>
    </font>
    <font>
      <sz val="10"/>
      <name val="Arial"/>
      <family val="2"/>
    </font>
    <font>
      <u/>
      <sz val="11"/>
      <name val="Calibri"/>
      <family val="2"/>
      <scheme val="minor"/>
    </font>
  </fonts>
  <fills count="4">
    <fill>
      <patternFill patternType="none"/>
    </fill>
    <fill>
      <patternFill patternType="gray125"/>
    </fill>
    <fill>
      <patternFill patternType="solid">
        <fgColor rgb="FFFFCC99"/>
      </patternFill>
    </fill>
    <fill>
      <patternFill patternType="solid">
        <fgColor rgb="FFE2E2E2"/>
        <bgColor indexed="64"/>
      </patternFill>
    </fill>
  </fills>
  <borders count="6">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0" fontId="6" fillId="2" borderId="2" applyNumberFormat="0" applyAlignment="0" applyProtection="0"/>
  </cellStyleXfs>
  <cellXfs count="34">
    <xf numFmtId="0" fontId="0" fillId="0" borderId="0" xfId="0"/>
    <xf numFmtId="0" fontId="2" fillId="0" borderId="0" xfId="0" applyFont="1"/>
    <xf numFmtId="0" fontId="3" fillId="0" borderId="0" xfId="0" applyFont="1"/>
    <xf numFmtId="0" fontId="0" fillId="0" borderId="0" xfId="0" quotePrefix="1"/>
    <xf numFmtId="0" fontId="1" fillId="0" borderId="3" xfId="0" applyFont="1" applyFill="1" applyBorder="1"/>
    <xf numFmtId="0" fontId="1" fillId="0" borderId="0" xfId="0" applyFont="1" applyFill="1" applyBorder="1"/>
    <xf numFmtId="0" fontId="1" fillId="0" borderId="1" xfId="0" applyFont="1" applyFill="1" applyBorder="1"/>
    <xf numFmtId="0" fontId="1" fillId="0" borderId="3" xfId="0" applyFont="1" applyFill="1" applyBorder="1" applyAlignment="1"/>
    <xf numFmtId="0" fontId="1" fillId="0" borderId="3" xfId="0" applyFont="1" applyFill="1" applyBorder="1" applyAlignment="1">
      <alignment horizontal="left" vertical="top"/>
    </xf>
    <xf numFmtId="0" fontId="1" fillId="0" borderId="3" xfId="0" applyFont="1" applyFill="1" applyBorder="1" applyAlignment="1">
      <alignment horizontal="left" vertical="top" wrapText="1"/>
    </xf>
    <xf numFmtId="0" fontId="1" fillId="0" borderId="0" xfId="0" applyFont="1" applyFill="1" applyBorder="1" applyAlignment="1">
      <alignment horizontal="left"/>
    </xf>
    <xf numFmtId="0" fontId="7" fillId="2" borderId="3" xfId="2" applyFont="1" applyBorder="1"/>
    <xf numFmtId="0" fontId="1" fillId="0" borderId="3" xfId="0" applyFont="1" applyFill="1" applyBorder="1" applyAlignment="1">
      <alignment horizontal="left" vertical="top"/>
    </xf>
    <xf numFmtId="1" fontId="0" fillId="0" borderId="3" xfId="0" applyNumberFormat="1" applyBorder="1"/>
    <xf numFmtId="0" fontId="4" fillId="0" borderId="3" xfId="1" applyBorder="1"/>
    <xf numFmtId="0" fontId="1" fillId="3" borderId="3" xfId="0" applyFont="1" applyFill="1" applyBorder="1" applyAlignment="1">
      <alignment horizontal="left" vertical="top"/>
    </xf>
    <xf numFmtId="0" fontId="1" fillId="0" borderId="3" xfId="0" applyFont="1" applyFill="1" applyBorder="1" applyAlignment="1">
      <alignment horizontal="left" vertical="top"/>
    </xf>
    <xf numFmtId="0" fontId="8" fillId="0" borderId="0" xfId="0" applyFont="1"/>
    <xf numFmtId="0" fontId="10" fillId="0" borderId="1" xfId="0" applyFont="1" applyBorder="1" applyAlignment="1">
      <alignment vertical="center"/>
    </xf>
    <xf numFmtId="0" fontId="9" fillId="0" borderId="1" xfId="0" applyFont="1" applyBorder="1" applyAlignment="1">
      <alignment vertical="center"/>
    </xf>
    <xf numFmtId="0" fontId="0" fillId="0" borderId="1" xfId="0" applyBorder="1"/>
    <xf numFmtId="0" fontId="9" fillId="0" borderId="4" xfId="0" applyFont="1" applyBorder="1" applyAlignment="1">
      <alignment vertical="center"/>
    </xf>
    <xf numFmtId="0" fontId="9" fillId="0" borderId="5" xfId="0" applyFont="1" applyBorder="1" applyAlignment="1">
      <alignment vertical="center"/>
    </xf>
    <xf numFmtId="0" fontId="9" fillId="0" borderId="0" xfId="0" applyFont="1" applyBorder="1" applyAlignment="1">
      <alignment vertical="center"/>
    </xf>
    <xf numFmtId="0" fontId="11" fillId="0" borderId="1" xfId="0" applyFont="1" applyBorder="1" applyAlignment="1">
      <alignment vertical="center"/>
    </xf>
    <xf numFmtId="0" fontId="12" fillId="0" borderId="1" xfId="0" applyFont="1" applyBorder="1" applyAlignment="1">
      <alignment vertical="center"/>
    </xf>
    <xf numFmtId="0" fontId="1" fillId="0" borderId="1" xfId="0" applyFont="1" applyBorder="1" applyAlignment="1">
      <alignment vertical="center"/>
    </xf>
    <xf numFmtId="0" fontId="13" fillId="0" borderId="1" xfId="1" applyFont="1" applyBorder="1" applyAlignment="1">
      <alignment vertical="center"/>
    </xf>
    <xf numFmtId="0" fontId="12" fillId="0" borderId="5" xfId="0" applyFont="1" applyBorder="1" applyAlignment="1">
      <alignment vertical="center"/>
    </xf>
    <xf numFmtId="0" fontId="12" fillId="0" borderId="4" xfId="0" applyFont="1" applyBorder="1" applyAlignment="1">
      <alignment vertical="center"/>
    </xf>
    <xf numFmtId="0" fontId="1" fillId="0" borderId="0" xfId="0" applyFont="1" applyFill="1" applyBorder="1" applyAlignment="1">
      <alignment horizontal="left"/>
    </xf>
    <xf numFmtId="0" fontId="1" fillId="0" borderId="3" xfId="0" applyFont="1" applyFill="1" applyBorder="1" applyAlignment="1">
      <alignment horizontal="left"/>
    </xf>
    <xf numFmtId="0" fontId="1" fillId="0" borderId="3" xfId="0" applyFont="1" applyFill="1" applyBorder="1" applyAlignment="1">
      <alignment horizontal="left" vertical="top"/>
    </xf>
    <xf numFmtId="0" fontId="7" fillId="2" borderId="3" xfId="2" applyFont="1" applyBorder="1" applyAlignment="1">
      <alignment horizontal="left"/>
    </xf>
  </cellXfs>
  <cellStyles count="3">
    <cellStyle name="Hyperlink" xfId="1" builtinId="8"/>
    <cellStyle name="Input" xfId="2" builtinId="20"/>
    <cellStyle name="Normal" xfId="0" builtinId="0"/>
  </cellStyles>
  <dxfs count="1">
    <dxf>
      <fill>
        <patternFill>
          <bgColor theme="5" tint="0.79998168889431442"/>
        </patternFill>
      </fill>
    </dxf>
  </dxfs>
  <tableStyles count="0" defaultTableStyle="TableStyleMedium2" defaultPivotStyle="PivotStyleLight16"/>
  <colors>
    <mruColors>
      <color rgb="FFE2E2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9525</xdr:rowOff>
        </xdr:from>
        <xdr:to>
          <xdr:col>7</xdr:col>
          <xdr:colOff>590550</xdr:colOff>
          <xdr:row>5</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cs-CZ" sz="3600" b="0" i="0" u="none" strike="noStrike" baseline="0">
                  <a:solidFill>
                    <a:srgbClr val="000000"/>
                  </a:solidFill>
                  <a:latin typeface="Calibri"/>
                  <a:ea typeface="Calibri"/>
                  <a:cs typeface="Calibri"/>
                </a:rPr>
                <a:t>Create Dispute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5</xdr:row>
          <xdr:rowOff>19050</xdr:rowOff>
        </xdr:from>
        <xdr:to>
          <xdr:col>7</xdr:col>
          <xdr:colOff>590550</xdr:colOff>
          <xdr:row>10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cs-CZ" sz="3600" b="0" i="0" u="none" strike="noStrike" baseline="0">
                  <a:solidFill>
                    <a:srgbClr val="000000"/>
                  </a:solidFill>
                  <a:latin typeface="Calibri"/>
                  <a:ea typeface="Calibri"/>
                  <a:cs typeface="Calibri"/>
                </a:rPr>
                <a:t>Edit Dispute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10</xdr:row>
          <xdr:rowOff>19050</xdr:rowOff>
        </xdr:from>
        <xdr:to>
          <xdr:col>7</xdr:col>
          <xdr:colOff>590550</xdr:colOff>
          <xdr:row>14</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cs-CZ" sz="3600" b="0" i="0" u="none" strike="noStrike" baseline="0">
                  <a:solidFill>
                    <a:srgbClr val="000000"/>
                  </a:solidFill>
                  <a:latin typeface="Calibri"/>
                  <a:ea typeface="Calibri"/>
                  <a:cs typeface="Calibri"/>
                </a:rPr>
                <a:t>Clear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robert.herrmann@georgfischer.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mailto:cst.dach@sa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02"/>
  <sheetViews>
    <sheetView showGridLines="0" tabSelected="1" zoomScaleNormal="100" workbookViewId="0">
      <selection activeCell="S3" sqref="S3:S4"/>
    </sheetView>
  </sheetViews>
  <sheetFormatPr defaultRowHeight="15" x14ac:dyDescent="0.25"/>
  <cols>
    <col min="1" max="1" width="24.140625" style="10" bestFit="1" customWidth="1"/>
    <col min="2" max="2" width="14.5703125" style="10" bestFit="1" customWidth="1"/>
    <col min="3" max="3" width="51.28515625" style="5" bestFit="1" customWidth="1"/>
    <col min="4" max="16384" width="9.140625" style="5"/>
  </cols>
  <sheetData>
    <row r="1" spans="1:5" ht="15.75" x14ac:dyDescent="0.25">
      <c r="A1" s="33" t="s">
        <v>2</v>
      </c>
      <c r="B1" s="33"/>
      <c r="C1" s="11" t="s">
        <v>1</v>
      </c>
    </row>
    <row r="2" spans="1:5" x14ac:dyDescent="0.25">
      <c r="A2" s="31" t="s">
        <v>0</v>
      </c>
      <c r="B2" s="31"/>
      <c r="C2" s="13">
        <v>10002240016083</v>
      </c>
    </row>
    <row r="3" spans="1:5" x14ac:dyDescent="0.25">
      <c r="A3" s="31" t="s">
        <v>81</v>
      </c>
      <c r="B3" s="31"/>
      <c r="C3" s="16" t="s">
        <v>143</v>
      </c>
    </row>
    <row r="4" spans="1:5" x14ac:dyDescent="0.25">
      <c r="A4" s="31" t="s">
        <v>82</v>
      </c>
      <c r="B4" s="31"/>
      <c r="C4" s="14" t="s">
        <v>142</v>
      </c>
    </row>
    <row r="5" spans="1:5" x14ac:dyDescent="0.25">
      <c r="A5" s="31" t="s">
        <v>83</v>
      </c>
      <c r="B5" s="31"/>
      <c r="C5"/>
      <c r="E5" s="6"/>
    </row>
    <row r="6" spans="1:5" x14ac:dyDescent="0.25">
      <c r="A6" s="31" t="s">
        <v>5</v>
      </c>
      <c r="B6" s="31"/>
      <c r="C6" s="15" t="s">
        <v>105</v>
      </c>
    </row>
    <row r="7" spans="1:5" x14ac:dyDescent="0.25">
      <c r="A7" s="31" t="s">
        <v>7</v>
      </c>
      <c r="B7" s="31"/>
      <c r="C7" s="15" t="s">
        <v>115</v>
      </c>
    </row>
    <row r="8" spans="1:5" x14ac:dyDescent="0.25">
      <c r="A8" s="31" t="s">
        <v>21</v>
      </c>
      <c r="B8" s="31"/>
      <c r="C8" s="15" t="s">
        <v>23</v>
      </c>
    </row>
    <row r="9" spans="1:5" x14ac:dyDescent="0.25">
      <c r="A9" s="7" t="s">
        <v>6</v>
      </c>
      <c r="B9" s="4" t="str">
        <f>IFERROR(_xlfn.XLOOKUP(C9,Sheet2!I9:I16,Sheet2!J9:J16),"")</f>
        <v>I547640</v>
      </c>
      <c r="C9" s="15" t="s">
        <v>97</v>
      </c>
    </row>
    <row r="10" spans="1:5" x14ac:dyDescent="0.25">
      <c r="A10" s="7" t="s">
        <v>114</v>
      </c>
      <c r="B10" s="7"/>
      <c r="C10" s="12"/>
    </row>
    <row r="11" spans="1:5" x14ac:dyDescent="0.25">
      <c r="A11" s="7" t="s">
        <v>24</v>
      </c>
      <c r="B11" s="4" t="str">
        <f>IFERROR(_xlfn.XLOOKUP(Sheet1!C11,Sheet2!F23:F50,Sheet2!E23:E50),"")</f>
        <v>Z010</v>
      </c>
      <c r="C11" s="15" t="s">
        <v>28</v>
      </c>
    </row>
    <row r="12" spans="1:5" x14ac:dyDescent="0.25">
      <c r="A12" s="31"/>
      <c r="B12" s="31"/>
      <c r="C12" s="12"/>
    </row>
    <row r="13" spans="1:5" x14ac:dyDescent="0.25">
      <c r="A13" s="31"/>
      <c r="B13" s="31"/>
      <c r="C13" s="12"/>
    </row>
    <row r="14" spans="1:5" x14ac:dyDescent="0.25">
      <c r="A14" s="31"/>
      <c r="B14" s="31"/>
      <c r="C14" s="12"/>
    </row>
    <row r="15" spans="1:5" ht="147" customHeight="1" x14ac:dyDescent="0.25">
      <c r="A15" s="32" t="s">
        <v>20</v>
      </c>
      <c r="B15" s="32"/>
      <c r="C15" s="9" t="s">
        <v>144</v>
      </c>
    </row>
    <row r="16" spans="1:5" x14ac:dyDescent="0.25">
      <c r="A16" s="31" t="s">
        <v>84</v>
      </c>
      <c r="B16" s="31"/>
      <c r="C16" s="8" t="s">
        <v>141</v>
      </c>
    </row>
    <row r="17" spans="1:3" x14ac:dyDescent="0.25">
      <c r="A17" s="31"/>
      <c r="B17" s="31"/>
      <c r="C17" s="8"/>
    </row>
    <row r="18" spans="1:3" x14ac:dyDescent="0.25">
      <c r="A18" s="30"/>
      <c r="B18" s="30"/>
    </row>
    <row r="19" spans="1:3" x14ac:dyDescent="0.25">
      <c r="A19" s="30"/>
      <c r="B19" s="30"/>
    </row>
    <row r="20" spans="1:3" x14ac:dyDescent="0.25">
      <c r="A20" s="30"/>
      <c r="B20" s="30"/>
    </row>
    <row r="21" spans="1:3" x14ac:dyDescent="0.25">
      <c r="A21" s="30"/>
      <c r="B21" s="30"/>
    </row>
    <row r="22" spans="1:3" x14ac:dyDescent="0.25">
      <c r="A22" s="30"/>
      <c r="B22" s="30"/>
    </row>
    <row r="23" spans="1:3" x14ac:dyDescent="0.25">
      <c r="A23" s="30"/>
      <c r="B23" s="30"/>
    </row>
    <row r="24" spans="1:3" x14ac:dyDescent="0.25">
      <c r="A24" s="30"/>
      <c r="B24" s="30"/>
    </row>
    <row r="25" spans="1:3" x14ac:dyDescent="0.25">
      <c r="A25" s="30"/>
      <c r="B25" s="30"/>
    </row>
    <row r="26" spans="1:3" x14ac:dyDescent="0.25">
      <c r="A26" s="30"/>
      <c r="B26" s="30"/>
    </row>
    <row r="27" spans="1:3" x14ac:dyDescent="0.25">
      <c r="A27" s="30"/>
      <c r="B27" s="30"/>
    </row>
    <row r="28" spans="1:3" x14ac:dyDescent="0.25">
      <c r="A28" s="30"/>
      <c r="B28" s="30"/>
    </row>
    <row r="29" spans="1:3" x14ac:dyDescent="0.25">
      <c r="A29" s="30"/>
      <c r="B29" s="30"/>
    </row>
    <row r="30" spans="1:3" x14ac:dyDescent="0.25">
      <c r="A30" s="30"/>
      <c r="B30" s="30"/>
    </row>
    <row r="31" spans="1:3" x14ac:dyDescent="0.25">
      <c r="A31" s="30"/>
      <c r="B31" s="30"/>
    </row>
    <row r="32" spans="1:3" x14ac:dyDescent="0.25">
      <c r="A32" s="30"/>
      <c r="B32" s="30"/>
    </row>
    <row r="33" spans="1:2" x14ac:dyDescent="0.25">
      <c r="A33" s="30"/>
      <c r="B33" s="30"/>
    </row>
    <row r="34" spans="1:2" x14ac:dyDescent="0.25">
      <c r="A34" s="30"/>
      <c r="B34" s="30"/>
    </row>
    <row r="35" spans="1:2" x14ac:dyDescent="0.25">
      <c r="A35" s="30"/>
      <c r="B35" s="30"/>
    </row>
    <row r="36" spans="1:2" x14ac:dyDescent="0.25">
      <c r="A36" s="30"/>
      <c r="B36" s="30"/>
    </row>
    <row r="37" spans="1:2" x14ac:dyDescent="0.25">
      <c r="A37" s="30"/>
      <c r="B37" s="30"/>
    </row>
    <row r="38" spans="1:2" x14ac:dyDescent="0.25">
      <c r="A38" s="30"/>
      <c r="B38" s="30"/>
    </row>
    <row r="39" spans="1:2" x14ac:dyDescent="0.25">
      <c r="A39" s="30"/>
      <c r="B39" s="30"/>
    </row>
    <row r="40" spans="1:2" x14ac:dyDescent="0.25">
      <c r="A40" s="30"/>
      <c r="B40" s="30"/>
    </row>
    <row r="41" spans="1:2" x14ac:dyDescent="0.25">
      <c r="A41" s="30"/>
      <c r="B41" s="30"/>
    </row>
    <row r="42" spans="1:2" x14ac:dyDescent="0.25">
      <c r="A42" s="30"/>
      <c r="B42" s="30"/>
    </row>
    <row r="43" spans="1:2" x14ac:dyDescent="0.25">
      <c r="A43" s="30"/>
      <c r="B43" s="30"/>
    </row>
    <row r="44" spans="1:2" x14ac:dyDescent="0.25">
      <c r="A44" s="30"/>
      <c r="B44" s="30"/>
    </row>
    <row r="45" spans="1:2" x14ac:dyDescent="0.25">
      <c r="A45" s="30"/>
      <c r="B45" s="30"/>
    </row>
    <row r="46" spans="1:2" x14ac:dyDescent="0.25">
      <c r="A46" s="30"/>
      <c r="B46" s="30"/>
    </row>
    <row r="47" spans="1:2" x14ac:dyDescent="0.25">
      <c r="A47" s="30"/>
      <c r="B47" s="30"/>
    </row>
    <row r="48" spans="1:2" x14ac:dyDescent="0.25">
      <c r="A48" s="30"/>
      <c r="B48" s="30"/>
    </row>
    <row r="49" spans="1:2" x14ac:dyDescent="0.25">
      <c r="A49" s="30"/>
      <c r="B49" s="30"/>
    </row>
    <row r="50" spans="1:2" x14ac:dyDescent="0.25">
      <c r="A50" s="30"/>
      <c r="B50" s="30"/>
    </row>
    <row r="51" spans="1:2" x14ac:dyDescent="0.25">
      <c r="A51" s="30"/>
      <c r="B51" s="30"/>
    </row>
    <row r="52" spans="1:2" x14ac:dyDescent="0.25">
      <c r="A52" s="30"/>
      <c r="B52" s="30"/>
    </row>
    <row r="53" spans="1:2" x14ac:dyDescent="0.25">
      <c r="A53" s="30"/>
      <c r="B53" s="30"/>
    </row>
    <row r="54" spans="1:2" x14ac:dyDescent="0.25">
      <c r="A54" s="30"/>
      <c r="B54" s="30"/>
    </row>
    <row r="55" spans="1:2" x14ac:dyDescent="0.25">
      <c r="A55" s="30"/>
      <c r="B55" s="30"/>
    </row>
    <row r="56" spans="1:2" x14ac:dyDescent="0.25">
      <c r="A56" s="30"/>
      <c r="B56" s="30"/>
    </row>
    <row r="57" spans="1:2" x14ac:dyDescent="0.25">
      <c r="A57" s="30"/>
      <c r="B57" s="30"/>
    </row>
    <row r="58" spans="1:2" x14ac:dyDescent="0.25">
      <c r="A58" s="30"/>
      <c r="B58" s="30"/>
    </row>
    <row r="59" spans="1:2" x14ac:dyDescent="0.25">
      <c r="A59" s="30"/>
      <c r="B59" s="30"/>
    </row>
    <row r="60" spans="1:2" x14ac:dyDescent="0.25">
      <c r="A60" s="30"/>
      <c r="B60" s="30"/>
    </row>
    <row r="61" spans="1:2" x14ac:dyDescent="0.25">
      <c r="A61" s="30"/>
      <c r="B61" s="30"/>
    </row>
    <row r="62" spans="1:2" x14ac:dyDescent="0.25">
      <c r="A62" s="30"/>
      <c r="B62" s="30"/>
    </row>
    <row r="63" spans="1:2" x14ac:dyDescent="0.25">
      <c r="A63" s="30"/>
      <c r="B63" s="30"/>
    </row>
    <row r="64" spans="1:2" x14ac:dyDescent="0.25">
      <c r="A64" s="30"/>
      <c r="B64" s="30"/>
    </row>
    <row r="65" spans="1:2" x14ac:dyDescent="0.25">
      <c r="A65" s="30"/>
      <c r="B65" s="30"/>
    </row>
    <row r="66" spans="1:2" x14ac:dyDescent="0.25">
      <c r="A66" s="30"/>
      <c r="B66" s="30"/>
    </row>
    <row r="67" spans="1:2" x14ac:dyDescent="0.25">
      <c r="A67" s="30"/>
      <c r="B67" s="30"/>
    </row>
    <row r="68" spans="1:2" x14ac:dyDescent="0.25">
      <c r="A68" s="30"/>
      <c r="B68" s="30"/>
    </row>
    <row r="69" spans="1:2" x14ac:dyDescent="0.25">
      <c r="A69" s="30"/>
      <c r="B69" s="30"/>
    </row>
    <row r="70" spans="1:2" x14ac:dyDescent="0.25">
      <c r="A70" s="30"/>
      <c r="B70" s="30"/>
    </row>
    <row r="71" spans="1:2" x14ac:dyDescent="0.25">
      <c r="A71" s="30"/>
      <c r="B71" s="30"/>
    </row>
    <row r="72" spans="1:2" x14ac:dyDescent="0.25">
      <c r="A72" s="30"/>
      <c r="B72" s="30"/>
    </row>
    <row r="73" spans="1:2" x14ac:dyDescent="0.25">
      <c r="A73" s="30"/>
      <c r="B73" s="30"/>
    </row>
    <row r="74" spans="1:2" x14ac:dyDescent="0.25">
      <c r="A74" s="30"/>
      <c r="B74" s="30"/>
    </row>
    <row r="75" spans="1:2" x14ac:dyDescent="0.25">
      <c r="A75" s="30"/>
      <c r="B75" s="30"/>
    </row>
    <row r="76" spans="1:2" x14ac:dyDescent="0.25">
      <c r="A76" s="30"/>
      <c r="B76" s="30"/>
    </row>
    <row r="77" spans="1:2" x14ac:dyDescent="0.25">
      <c r="A77" s="30"/>
      <c r="B77" s="30"/>
    </row>
    <row r="78" spans="1:2" x14ac:dyDescent="0.25">
      <c r="A78" s="30"/>
      <c r="B78" s="30"/>
    </row>
    <row r="79" spans="1:2" x14ac:dyDescent="0.25">
      <c r="A79" s="30"/>
      <c r="B79" s="30"/>
    </row>
    <row r="80" spans="1:2" x14ac:dyDescent="0.25">
      <c r="A80" s="30"/>
      <c r="B80" s="30"/>
    </row>
    <row r="81" spans="1:2" x14ac:dyDescent="0.25">
      <c r="A81" s="30"/>
      <c r="B81" s="30"/>
    </row>
    <row r="82" spans="1:2" x14ac:dyDescent="0.25">
      <c r="A82" s="30"/>
      <c r="B82" s="30"/>
    </row>
    <row r="83" spans="1:2" x14ac:dyDescent="0.25">
      <c r="A83" s="30"/>
      <c r="B83" s="30"/>
    </row>
    <row r="84" spans="1:2" x14ac:dyDescent="0.25">
      <c r="A84" s="30"/>
      <c r="B84" s="30"/>
    </row>
    <row r="85" spans="1:2" x14ac:dyDescent="0.25">
      <c r="A85" s="30"/>
      <c r="B85" s="30"/>
    </row>
    <row r="86" spans="1:2" x14ac:dyDescent="0.25">
      <c r="A86" s="30"/>
      <c r="B86" s="30"/>
    </row>
    <row r="87" spans="1:2" x14ac:dyDescent="0.25">
      <c r="A87" s="30"/>
      <c r="B87" s="30"/>
    </row>
    <row r="88" spans="1:2" x14ac:dyDescent="0.25">
      <c r="A88" s="30"/>
      <c r="B88" s="30"/>
    </row>
    <row r="89" spans="1:2" x14ac:dyDescent="0.25">
      <c r="A89" s="30"/>
      <c r="B89" s="30"/>
    </row>
    <row r="90" spans="1:2" x14ac:dyDescent="0.25">
      <c r="A90" s="30"/>
      <c r="B90" s="30"/>
    </row>
    <row r="91" spans="1:2" x14ac:dyDescent="0.25">
      <c r="A91" s="30"/>
      <c r="B91" s="30"/>
    </row>
    <row r="92" spans="1:2" x14ac:dyDescent="0.25">
      <c r="A92" s="30"/>
      <c r="B92" s="30"/>
    </row>
    <row r="93" spans="1:2" x14ac:dyDescent="0.25">
      <c r="A93" s="30"/>
      <c r="B93" s="30"/>
    </row>
    <row r="94" spans="1:2" x14ac:dyDescent="0.25">
      <c r="A94" s="30"/>
      <c r="B94" s="30"/>
    </row>
    <row r="95" spans="1:2" x14ac:dyDescent="0.25">
      <c r="A95" s="30"/>
      <c r="B95" s="30"/>
    </row>
    <row r="96" spans="1:2" x14ac:dyDescent="0.25">
      <c r="A96" s="30"/>
      <c r="B96" s="30"/>
    </row>
    <row r="97" spans="1:2" x14ac:dyDescent="0.25">
      <c r="A97" s="30"/>
      <c r="B97" s="30"/>
    </row>
    <row r="98" spans="1:2" x14ac:dyDescent="0.25">
      <c r="A98" s="30"/>
      <c r="B98" s="30"/>
    </row>
    <row r="99" spans="1:2" x14ac:dyDescent="0.25">
      <c r="A99" s="30"/>
      <c r="B99" s="30"/>
    </row>
    <row r="100" spans="1:2" x14ac:dyDescent="0.25">
      <c r="A100" s="30"/>
      <c r="B100" s="30"/>
    </row>
    <row r="101" spans="1:2" x14ac:dyDescent="0.25">
      <c r="A101" s="30"/>
      <c r="B101" s="30"/>
    </row>
    <row r="102" spans="1:2" x14ac:dyDescent="0.25">
      <c r="A102" s="30"/>
      <c r="B102" s="30"/>
    </row>
  </sheetData>
  <mergeCells count="99">
    <mergeCell ref="A4:B4"/>
    <mergeCell ref="A3:B3"/>
    <mergeCell ref="A2:B2"/>
    <mergeCell ref="A1:B1"/>
    <mergeCell ref="A7:B7"/>
    <mergeCell ref="A8:B8"/>
    <mergeCell ref="A12:B12"/>
    <mergeCell ref="A6:B6"/>
    <mergeCell ref="A5:B5"/>
    <mergeCell ref="A24:B24"/>
    <mergeCell ref="A13:B13"/>
    <mergeCell ref="A14:B14"/>
    <mergeCell ref="A15:B15"/>
    <mergeCell ref="A16:B16"/>
    <mergeCell ref="A17:B17"/>
    <mergeCell ref="A19:B19"/>
    <mergeCell ref="A20:B20"/>
    <mergeCell ref="A21:B21"/>
    <mergeCell ref="A22:B22"/>
    <mergeCell ref="A23:B23"/>
    <mergeCell ref="A18:B18"/>
    <mergeCell ref="A36:B36"/>
    <mergeCell ref="A25:B25"/>
    <mergeCell ref="A26:B26"/>
    <mergeCell ref="A27:B27"/>
    <mergeCell ref="A28:B28"/>
    <mergeCell ref="A29:B29"/>
    <mergeCell ref="A30:B30"/>
    <mergeCell ref="A31:B31"/>
    <mergeCell ref="A32:B32"/>
    <mergeCell ref="A33:B33"/>
    <mergeCell ref="A34:B34"/>
    <mergeCell ref="A35:B35"/>
    <mergeCell ref="A48:B48"/>
    <mergeCell ref="A37:B37"/>
    <mergeCell ref="A38:B38"/>
    <mergeCell ref="A39:B39"/>
    <mergeCell ref="A40:B40"/>
    <mergeCell ref="A41:B41"/>
    <mergeCell ref="A42:B42"/>
    <mergeCell ref="A43:B43"/>
    <mergeCell ref="A44:B44"/>
    <mergeCell ref="A45:B45"/>
    <mergeCell ref="A46:B46"/>
    <mergeCell ref="A47:B47"/>
    <mergeCell ref="A60:B60"/>
    <mergeCell ref="A49:B49"/>
    <mergeCell ref="A50:B50"/>
    <mergeCell ref="A51:B51"/>
    <mergeCell ref="A52:B52"/>
    <mergeCell ref="A53:B53"/>
    <mergeCell ref="A54:B54"/>
    <mergeCell ref="A55:B55"/>
    <mergeCell ref="A56:B56"/>
    <mergeCell ref="A57:B57"/>
    <mergeCell ref="A58:B58"/>
    <mergeCell ref="A59:B59"/>
    <mergeCell ref="A78:B78"/>
    <mergeCell ref="A72:B72"/>
    <mergeCell ref="A61:B61"/>
    <mergeCell ref="A62:B62"/>
    <mergeCell ref="A63:B63"/>
    <mergeCell ref="A64:B64"/>
    <mergeCell ref="A65:B65"/>
    <mergeCell ref="A66:B66"/>
    <mergeCell ref="A67:B67"/>
    <mergeCell ref="A68:B68"/>
    <mergeCell ref="A69:B69"/>
    <mergeCell ref="A70:B70"/>
    <mergeCell ref="A71:B71"/>
    <mergeCell ref="A73:B73"/>
    <mergeCell ref="A74:B74"/>
    <mergeCell ref="A75:B75"/>
    <mergeCell ref="A76:B76"/>
    <mergeCell ref="A77:B77"/>
    <mergeCell ref="A101:B101"/>
    <mergeCell ref="A102:B102"/>
    <mergeCell ref="A91:B91"/>
    <mergeCell ref="A92:B92"/>
    <mergeCell ref="A93:B93"/>
    <mergeCell ref="A94:B94"/>
    <mergeCell ref="A95:B95"/>
    <mergeCell ref="A96:B96"/>
    <mergeCell ref="A97:B97"/>
    <mergeCell ref="A98:B98"/>
    <mergeCell ref="A99:B99"/>
    <mergeCell ref="A100:B100"/>
    <mergeCell ref="A90:B90"/>
    <mergeCell ref="A79:B79"/>
    <mergeCell ref="A80:B80"/>
    <mergeCell ref="A81:B81"/>
    <mergeCell ref="A82:B82"/>
    <mergeCell ref="A83:B83"/>
    <mergeCell ref="A85:B85"/>
    <mergeCell ref="A86:B86"/>
    <mergeCell ref="A87:B87"/>
    <mergeCell ref="A88:B88"/>
    <mergeCell ref="A89:B89"/>
    <mergeCell ref="A84:B84"/>
  </mergeCells>
  <conditionalFormatting sqref="B9">
    <cfRule type="containsText" dxfId="0" priority="1" operator="containsText" text="Manual Input">
      <formula>NOT(ISERROR(SEARCH("Manual Input",B9)))</formula>
    </cfRule>
  </conditionalFormatting>
  <hyperlinks>
    <hyperlink ref="C4" r:id="rId1" xr:uid="{DA5F5513-F263-4E35-AC6F-217F1557295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 r:id="rId5" name="Button 10">
              <controlPr defaultSize="0" print="0" autoFill="0" autoPict="0" macro="[0]!AutomaticNewdis">
                <anchor moveWithCells="1" sizeWithCells="1">
                  <from>
                    <xdr:col>3</xdr:col>
                    <xdr:colOff>9525</xdr:colOff>
                    <xdr:row>0</xdr:row>
                    <xdr:rowOff>9525</xdr:rowOff>
                  </from>
                  <to>
                    <xdr:col>7</xdr:col>
                    <xdr:colOff>590550</xdr:colOff>
                    <xdr:row>5</xdr:row>
                    <xdr:rowOff>0</xdr:rowOff>
                  </to>
                </anchor>
              </controlPr>
            </control>
          </mc:Choice>
        </mc:AlternateContent>
        <mc:AlternateContent xmlns:mc="http://schemas.openxmlformats.org/markup-compatibility/2006">
          <mc:Choice Requires="x14">
            <control shapeId="1041" r:id="rId6" name="Button 17">
              <controlPr defaultSize="0" print="0" autoFill="0" autoPict="0" macro="[0]!AutomaticEditdis">
                <anchor moveWithCells="1" sizeWithCells="1">
                  <from>
                    <xdr:col>3</xdr:col>
                    <xdr:colOff>9525</xdr:colOff>
                    <xdr:row>5</xdr:row>
                    <xdr:rowOff>19050</xdr:rowOff>
                  </from>
                  <to>
                    <xdr:col>7</xdr:col>
                    <xdr:colOff>590550</xdr:colOff>
                    <xdr:row>10</xdr:row>
                    <xdr:rowOff>0</xdr:rowOff>
                  </to>
                </anchor>
              </controlPr>
            </control>
          </mc:Choice>
        </mc:AlternateContent>
        <mc:AlternateContent xmlns:mc="http://schemas.openxmlformats.org/markup-compatibility/2006">
          <mc:Choice Requires="x14">
            <control shapeId="1046" r:id="rId7" name="Button 22">
              <controlPr defaultSize="0" print="0" autoFill="0" autoPict="0" macro="[0]!Macro4">
                <anchor moveWithCells="1" sizeWithCells="1">
                  <from>
                    <xdr:col>3</xdr:col>
                    <xdr:colOff>9525</xdr:colOff>
                    <xdr:row>10</xdr:row>
                    <xdr:rowOff>19050</xdr:rowOff>
                  </from>
                  <to>
                    <xdr:col>7</xdr:col>
                    <xdr:colOff>590550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r:uid="{D7138971-9495-4E73-BED6-B925CF5BD5D8}">
          <x14:formula1>
            <xm:f>Sheet2!$E$4:$E$10</xm:f>
          </x14:formula1>
          <xm:sqref>C6</xm:sqref>
        </x14:dataValidation>
        <x14:dataValidation type="list" showInputMessage="1" showErrorMessage="1" xr:uid="{C131D34B-26E8-45A0-BA29-205DFBB60FF1}">
          <x14:formula1>
            <xm:f>Sheet2!$G$4:$G$16</xm:f>
          </x14:formula1>
          <xm:sqref>C7</xm:sqref>
        </x14:dataValidation>
        <x14:dataValidation type="list" allowBlank="1" showInputMessage="1" showErrorMessage="1" xr:uid="{DA6AB6DD-9AF7-4FEF-8A88-96703C63ABC6}">
          <x14:formula1>
            <xm:f>Sheet2!$J$4:$J$8</xm:f>
          </x14:formula1>
          <xm:sqref>C8</xm:sqref>
        </x14:dataValidation>
        <x14:dataValidation type="list" showInputMessage="1" showErrorMessage="1" xr:uid="{801A5AF6-C22B-42B1-A2D7-1C04C509ED7B}">
          <x14:formula1>
            <xm:f>Sheet2!$F$23:$F$51</xm:f>
          </x14:formula1>
          <xm:sqref>C11</xm:sqref>
        </x14:dataValidation>
        <x14:dataValidation type="list" allowBlank="1" showInputMessage="1" showErrorMessage="1" xr:uid="{74757896-8D29-43F8-BEAD-E68646797F0E}">
          <x14:formula1>
            <xm:f>Sheet2!$I$9:$I$17</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568F-9832-46AA-A12D-44D9D0B393C2}">
  <sheetPr codeName="Sheet3"/>
  <dimension ref="A1:B52"/>
  <sheetViews>
    <sheetView showGridLines="0" workbookViewId="0">
      <selection activeCell="A33" sqref="A33"/>
    </sheetView>
  </sheetViews>
  <sheetFormatPr defaultRowHeight="15" x14ac:dyDescent="0.25"/>
  <cols>
    <col min="1" max="1" width="98.5703125" style="20" bestFit="1" customWidth="1"/>
    <col min="2" max="2" width="96" customWidth="1"/>
  </cols>
  <sheetData>
    <row r="1" spans="1:2" x14ac:dyDescent="0.25">
      <c r="A1" s="24" t="s">
        <v>104</v>
      </c>
      <c r="B1" s="24" t="s">
        <v>134</v>
      </c>
    </row>
    <row r="2" spans="1:2" x14ac:dyDescent="0.25">
      <c r="A2" s="25" t="s">
        <v>118</v>
      </c>
      <c r="B2" s="25" t="s">
        <v>118</v>
      </c>
    </row>
    <row r="3" spans="1:2" x14ac:dyDescent="0.25">
      <c r="A3" s="25" t="s">
        <v>119</v>
      </c>
      <c r="B3" s="25" t="s">
        <v>119</v>
      </c>
    </row>
    <row r="4" spans="1:2" x14ac:dyDescent="0.25">
      <c r="A4" s="25" t="s">
        <v>120</v>
      </c>
      <c r="B4" s="25" t="s">
        <v>135</v>
      </c>
    </row>
    <row r="5" spans="1:2" x14ac:dyDescent="0.25">
      <c r="A5" s="25" t="s">
        <v>121</v>
      </c>
      <c r="B5" s="25" t="s">
        <v>136</v>
      </c>
    </row>
    <row r="6" spans="1:2" x14ac:dyDescent="0.25">
      <c r="A6" s="25" t="s">
        <v>122</v>
      </c>
      <c r="B6" s="25"/>
    </row>
    <row r="7" spans="1:2" x14ac:dyDescent="0.25">
      <c r="A7" s="25"/>
      <c r="B7" s="25" t="s">
        <v>124</v>
      </c>
    </row>
    <row r="8" spans="1:2" x14ac:dyDescent="0.25">
      <c r="A8" s="25" t="s">
        <v>123</v>
      </c>
      <c r="B8" s="25" t="s">
        <v>125</v>
      </c>
    </row>
    <row r="9" spans="1:2" x14ac:dyDescent="0.25">
      <c r="A9" s="25"/>
      <c r="B9" s="25"/>
    </row>
    <row r="10" spans="1:2" x14ac:dyDescent="0.25">
      <c r="A10" s="25"/>
      <c r="B10" s="25" t="s">
        <v>137</v>
      </c>
    </row>
    <row r="11" spans="1:2" x14ac:dyDescent="0.25">
      <c r="A11" s="25" t="s">
        <v>124</v>
      </c>
      <c r="B11" s="21"/>
    </row>
    <row r="12" spans="1:2" x14ac:dyDescent="0.25">
      <c r="A12" s="25" t="s">
        <v>125</v>
      </c>
      <c r="B12" s="24" t="s">
        <v>97</v>
      </c>
    </row>
    <row r="13" spans="1:2" x14ac:dyDescent="0.25">
      <c r="A13" s="25"/>
      <c r="B13" s="25" t="s">
        <v>138</v>
      </c>
    </row>
    <row r="14" spans="1:2" x14ac:dyDescent="0.25">
      <c r="A14" s="25" t="s">
        <v>126</v>
      </c>
      <c r="B14" s="25" t="s">
        <v>139</v>
      </c>
    </row>
    <row r="15" spans="1:2" x14ac:dyDescent="0.25">
      <c r="A15" s="25"/>
      <c r="B15" s="25" t="s">
        <v>118</v>
      </c>
    </row>
    <row r="16" spans="1:2" x14ac:dyDescent="0.25">
      <c r="A16" s="22"/>
      <c r="B16" s="25" t="s">
        <v>119</v>
      </c>
    </row>
    <row r="17" spans="1:2" x14ac:dyDescent="0.25">
      <c r="A17" s="24" t="s">
        <v>127</v>
      </c>
      <c r="B17" s="25" t="s">
        <v>136</v>
      </c>
    </row>
    <row r="18" spans="1:2" x14ac:dyDescent="0.25">
      <c r="A18" s="25" t="s">
        <v>118</v>
      </c>
      <c r="B18" s="25"/>
    </row>
    <row r="19" spans="1:2" x14ac:dyDescent="0.25">
      <c r="A19" s="25" t="s">
        <v>120</v>
      </c>
      <c r="B19" s="29" t="s">
        <v>140</v>
      </c>
    </row>
    <row r="20" spans="1:2" x14ac:dyDescent="0.25">
      <c r="A20" s="25" t="s">
        <v>128</v>
      </c>
      <c r="B20" s="23"/>
    </row>
    <row r="21" spans="1:2" x14ac:dyDescent="0.25">
      <c r="A21" s="25" t="s">
        <v>129</v>
      </c>
    </row>
    <row r="22" spans="1:2" x14ac:dyDescent="0.25">
      <c r="A22" s="25" t="s">
        <v>130</v>
      </c>
    </row>
    <row r="23" spans="1:2" x14ac:dyDescent="0.25">
      <c r="A23" s="25" t="s">
        <v>131</v>
      </c>
    </row>
    <row r="24" spans="1:2" x14ac:dyDescent="0.25">
      <c r="A24" s="25"/>
    </row>
    <row r="25" spans="1:2" x14ac:dyDescent="0.25">
      <c r="A25" s="25" t="s">
        <v>124</v>
      </c>
    </row>
    <row r="26" spans="1:2" x14ac:dyDescent="0.25">
      <c r="A26" s="25" t="s">
        <v>125</v>
      </c>
    </row>
    <row r="27" spans="1:2" x14ac:dyDescent="0.25">
      <c r="A27" s="25"/>
    </row>
    <row r="28" spans="1:2" x14ac:dyDescent="0.25">
      <c r="A28" s="25" t="s">
        <v>132</v>
      </c>
    </row>
    <row r="29" spans="1:2" x14ac:dyDescent="0.25">
      <c r="A29" s="26"/>
    </row>
    <row r="30" spans="1:2" x14ac:dyDescent="0.25">
      <c r="A30" s="27" t="s">
        <v>133</v>
      </c>
    </row>
    <row r="31" spans="1:2" x14ac:dyDescent="0.25">
      <c r="A31" s="28"/>
    </row>
    <row r="32" spans="1:2" x14ac:dyDescent="0.25">
      <c r="A32" s="19"/>
    </row>
    <row r="33" spans="1:1" x14ac:dyDescent="0.25">
      <c r="A33" s="18"/>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8"/>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sheetData>
  <hyperlinks>
    <hyperlink ref="A30" r:id="rId1" display="mailto:cst.dach@sap.com" xr:uid="{342F69C9-C205-4AFE-B99C-4D23E83D46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2865D-E362-4308-9547-9E680964154A}">
  <sheetPr codeName="Sheet2"/>
  <dimension ref="E3:K50"/>
  <sheetViews>
    <sheetView topLeftCell="E1" workbookViewId="0">
      <selection activeCell="F29" sqref="F29"/>
    </sheetView>
  </sheetViews>
  <sheetFormatPr defaultRowHeight="15" x14ac:dyDescent="0.25"/>
  <cols>
    <col min="5" max="5" width="27.140625" bestFit="1" customWidth="1"/>
    <col min="6" max="6" width="59.5703125" bestFit="1" customWidth="1"/>
    <col min="8" max="8" width="37.5703125" customWidth="1"/>
    <col min="9" max="9" width="14" bestFit="1" customWidth="1"/>
    <col min="10" max="10" width="10.28515625" bestFit="1" customWidth="1"/>
  </cols>
  <sheetData>
    <row r="3" spans="5:11" x14ac:dyDescent="0.25">
      <c r="E3" t="s">
        <v>4</v>
      </c>
      <c r="F3" t="s">
        <v>7</v>
      </c>
    </row>
    <row r="4" spans="5:11" x14ac:dyDescent="0.25">
      <c r="E4" t="s">
        <v>105</v>
      </c>
      <c r="F4" t="s">
        <v>8</v>
      </c>
      <c r="G4" t="str">
        <f>SUBSTITUTE(F4,"'","")</f>
        <v>RoDC: In Process for O2I</v>
      </c>
      <c r="J4" s="3" t="s">
        <v>112</v>
      </c>
    </row>
    <row r="5" spans="5:11" x14ac:dyDescent="0.25">
      <c r="E5" t="s">
        <v>106</v>
      </c>
      <c r="F5" t="s">
        <v>9</v>
      </c>
      <c r="G5" t="str">
        <f t="shared" ref="G5:G15" si="0">SUBSTITUTE(F5,"'","")</f>
        <v>NGBC: On Hold for O2I</v>
      </c>
      <c r="J5" s="3" t="s">
        <v>22</v>
      </c>
    </row>
    <row r="6" spans="5:11" x14ac:dyDescent="0.25">
      <c r="E6" t="s">
        <v>107</v>
      </c>
      <c r="F6" t="s">
        <v>10</v>
      </c>
      <c r="G6" t="str">
        <f t="shared" si="0"/>
        <v>RoDC: Bankruptcy/Insolvent</v>
      </c>
      <c r="J6" s="3" t="s">
        <v>23</v>
      </c>
    </row>
    <row r="7" spans="5:11" x14ac:dyDescent="0.25">
      <c r="E7" t="s">
        <v>108</v>
      </c>
      <c r="F7" t="s">
        <v>11</v>
      </c>
      <c r="G7" t="str">
        <f t="shared" si="0"/>
        <v>RoDC: Closed/Confirmed</v>
      </c>
      <c r="J7" s="3" t="s">
        <v>113</v>
      </c>
    </row>
    <row r="8" spans="5:11" x14ac:dyDescent="0.25">
      <c r="E8" t="s">
        <v>109</v>
      </c>
      <c r="F8" t="s">
        <v>12</v>
      </c>
      <c r="G8" t="str">
        <f t="shared" si="0"/>
        <v>RoDC: Credit Balance</v>
      </c>
    </row>
    <row r="9" spans="5:11" ht="15.75" x14ac:dyDescent="0.25">
      <c r="E9" t="s">
        <v>110</v>
      </c>
      <c r="F9" t="s">
        <v>13</v>
      </c>
      <c r="G9" t="str">
        <f t="shared" si="0"/>
        <v>RoDC: In Process for Approvers</v>
      </c>
      <c r="I9" t="s">
        <v>97</v>
      </c>
      <c r="J9" s="1" t="s">
        <v>3</v>
      </c>
      <c r="K9" s="1" t="s">
        <v>93</v>
      </c>
    </row>
    <row r="10" spans="5:11" ht="15.75" x14ac:dyDescent="0.25">
      <c r="E10" t="s">
        <v>111</v>
      </c>
      <c r="F10" t="s">
        <v>14</v>
      </c>
      <c r="G10" t="str">
        <f>SUBSTITUTE(F10,"'","")</f>
        <v>RoDC: In Process for CC</v>
      </c>
      <c r="I10" t="s">
        <v>104</v>
      </c>
      <c r="J10" s="17" t="s">
        <v>116</v>
      </c>
      <c r="K10" s="1" t="s">
        <v>117</v>
      </c>
    </row>
    <row r="11" spans="5:11" ht="15.75" x14ac:dyDescent="0.25">
      <c r="F11" t="s">
        <v>15</v>
      </c>
      <c r="G11" t="str">
        <f t="shared" si="0"/>
        <v>RoDC: In Process for Customer</v>
      </c>
      <c r="I11" t="s">
        <v>103</v>
      </c>
      <c r="J11" s="2" t="s">
        <v>85</v>
      </c>
      <c r="K11" s="2" t="s">
        <v>92</v>
      </c>
    </row>
    <row r="12" spans="5:11" ht="15.75" x14ac:dyDescent="0.25">
      <c r="F12" t="s">
        <v>16</v>
      </c>
      <c r="G12" t="str">
        <f t="shared" si="0"/>
        <v>NGBC: In Process for DID</v>
      </c>
      <c r="I12" t="s">
        <v>102</v>
      </c>
      <c r="J12" s="1" t="s">
        <v>94</v>
      </c>
      <c r="K12" s="2"/>
    </row>
    <row r="13" spans="5:11" ht="15.75" x14ac:dyDescent="0.25">
      <c r="F13" t="s">
        <v>17</v>
      </c>
      <c r="G13" t="str">
        <f t="shared" si="0"/>
        <v>RoDC: Legal/Highly Escalated Cases</v>
      </c>
      <c r="I13" t="s">
        <v>101</v>
      </c>
      <c r="J13" s="1" t="s">
        <v>95</v>
      </c>
      <c r="K13" s="1" t="s">
        <v>96</v>
      </c>
    </row>
    <row r="14" spans="5:11" x14ac:dyDescent="0.25">
      <c r="F14" t="s">
        <v>18</v>
      </c>
      <c r="G14" t="str">
        <f t="shared" si="0"/>
        <v>RoDC: New</v>
      </c>
      <c r="I14" t="s">
        <v>100</v>
      </c>
      <c r="J14" t="s">
        <v>86</v>
      </c>
      <c r="K14" t="s">
        <v>87</v>
      </c>
    </row>
    <row r="15" spans="5:11" x14ac:dyDescent="0.25">
      <c r="F15" t="s">
        <v>19</v>
      </c>
      <c r="G15" t="str">
        <f t="shared" si="0"/>
        <v>RoDC: Termination</v>
      </c>
      <c r="I15" t="s">
        <v>99</v>
      </c>
      <c r="J15" t="s">
        <v>89</v>
      </c>
      <c r="K15" t="s">
        <v>88</v>
      </c>
    </row>
    <row r="16" spans="5:11" x14ac:dyDescent="0.25">
      <c r="I16" t="s">
        <v>98</v>
      </c>
      <c r="J16" t="s">
        <v>90</v>
      </c>
      <c r="K16" t="s">
        <v>91</v>
      </c>
    </row>
    <row r="23" spans="5:6" x14ac:dyDescent="0.25">
      <c r="E23" t="s">
        <v>25</v>
      </c>
      <c r="F23" t="s">
        <v>26</v>
      </c>
    </row>
    <row r="24" spans="5:6" x14ac:dyDescent="0.25">
      <c r="E24" t="s">
        <v>27</v>
      </c>
      <c r="F24" t="s">
        <v>28</v>
      </c>
    </row>
    <row r="25" spans="5:6" x14ac:dyDescent="0.25">
      <c r="E25" t="s">
        <v>29</v>
      </c>
      <c r="F25" t="s">
        <v>30</v>
      </c>
    </row>
    <row r="26" spans="5:6" x14ac:dyDescent="0.25">
      <c r="E26" t="s">
        <v>31</v>
      </c>
      <c r="F26" t="s">
        <v>32</v>
      </c>
    </row>
    <row r="27" spans="5:6" x14ac:dyDescent="0.25">
      <c r="E27" t="s">
        <v>33</v>
      </c>
      <c r="F27" t="s">
        <v>34</v>
      </c>
    </row>
    <row r="28" spans="5:6" x14ac:dyDescent="0.25">
      <c r="E28" t="s">
        <v>35</v>
      </c>
      <c r="F28" t="s">
        <v>36</v>
      </c>
    </row>
    <row r="29" spans="5:6" x14ac:dyDescent="0.25">
      <c r="E29" t="s">
        <v>37</v>
      </c>
      <c r="F29" t="s">
        <v>38</v>
      </c>
    </row>
    <row r="30" spans="5:6" x14ac:dyDescent="0.25">
      <c r="E30" t="s">
        <v>39</v>
      </c>
      <c r="F30" t="s">
        <v>40</v>
      </c>
    </row>
    <row r="31" spans="5:6" x14ac:dyDescent="0.25">
      <c r="E31" t="s">
        <v>41</v>
      </c>
      <c r="F31" t="s">
        <v>42</v>
      </c>
    </row>
    <row r="32" spans="5:6" x14ac:dyDescent="0.25">
      <c r="E32" t="s">
        <v>43</v>
      </c>
      <c r="F32" t="s">
        <v>44</v>
      </c>
    </row>
    <row r="33" spans="5:6" x14ac:dyDescent="0.25">
      <c r="E33" t="s">
        <v>45</v>
      </c>
      <c r="F33" t="s">
        <v>46</v>
      </c>
    </row>
    <row r="34" spans="5:6" x14ac:dyDescent="0.25">
      <c r="E34" t="s">
        <v>47</v>
      </c>
      <c r="F34" t="s">
        <v>48</v>
      </c>
    </row>
    <row r="35" spans="5:6" x14ac:dyDescent="0.25">
      <c r="E35" t="s">
        <v>49</v>
      </c>
      <c r="F35" t="s">
        <v>50</v>
      </c>
    </row>
    <row r="36" spans="5:6" x14ac:dyDescent="0.25">
      <c r="E36" t="s">
        <v>51</v>
      </c>
      <c r="F36" t="s">
        <v>52</v>
      </c>
    </row>
    <row r="37" spans="5:6" x14ac:dyDescent="0.25">
      <c r="E37" t="s">
        <v>53</v>
      </c>
      <c r="F37" t="s">
        <v>54</v>
      </c>
    </row>
    <row r="38" spans="5:6" x14ac:dyDescent="0.25">
      <c r="E38" t="s">
        <v>55</v>
      </c>
      <c r="F38" t="s">
        <v>56</v>
      </c>
    </row>
    <row r="39" spans="5:6" x14ac:dyDescent="0.25">
      <c r="E39" t="s">
        <v>57</v>
      </c>
      <c r="F39" t="s">
        <v>58</v>
      </c>
    </row>
    <row r="40" spans="5:6" x14ac:dyDescent="0.25">
      <c r="E40" t="s">
        <v>59</v>
      </c>
      <c r="F40" t="s">
        <v>60</v>
      </c>
    </row>
    <row r="41" spans="5:6" x14ac:dyDescent="0.25">
      <c r="E41" t="s">
        <v>61</v>
      </c>
      <c r="F41" t="s">
        <v>62</v>
      </c>
    </row>
    <row r="42" spans="5:6" x14ac:dyDescent="0.25">
      <c r="E42" t="s">
        <v>63</v>
      </c>
      <c r="F42" t="s">
        <v>64</v>
      </c>
    </row>
    <row r="43" spans="5:6" x14ac:dyDescent="0.25">
      <c r="E43" t="s">
        <v>65</v>
      </c>
      <c r="F43" t="s">
        <v>66</v>
      </c>
    </row>
    <row r="44" spans="5:6" x14ac:dyDescent="0.25">
      <c r="E44" t="s">
        <v>67</v>
      </c>
      <c r="F44" t="s">
        <v>68</v>
      </c>
    </row>
    <row r="45" spans="5:6" x14ac:dyDescent="0.25">
      <c r="E45" t="s">
        <v>69</v>
      </c>
      <c r="F45" t="s">
        <v>70</v>
      </c>
    </row>
    <row r="46" spans="5:6" x14ac:dyDescent="0.25">
      <c r="E46" t="s">
        <v>71</v>
      </c>
      <c r="F46" t="s">
        <v>72</v>
      </c>
    </row>
    <row r="47" spans="5:6" x14ac:dyDescent="0.25">
      <c r="E47" t="s">
        <v>73</v>
      </c>
      <c r="F47" t="s">
        <v>74</v>
      </c>
    </row>
    <row r="48" spans="5:6" x14ac:dyDescent="0.25">
      <c r="E48" t="s">
        <v>75</v>
      </c>
      <c r="F48" t="s">
        <v>76</v>
      </c>
    </row>
    <row r="49" spans="5:6" x14ac:dyDescent="0.25">
      <c r="E49" t="s">
        <v>77</v>
      </c>
      <c r="F49" t="s">
        <v>78</v>
      </c>
    </row>
    <row r="50" spans="5:6" x14ac:dyDescent="0.25">
      <c r="E50" t="s">
        <v>79</v>
      </c>
      <c r="F50" t="s">
        <v>80</v>
      </c>
    </row>
  </sheetData>
  <pageMargins left="0.7" right="0.7" top="0.75" bottom="0.75" header="0.3" footer="0.3"/>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Dispute case Regel</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Subrt, Richard</dc:creator>
  <cp:lastModifiedBy>Subrt, Richard</cp:lastModifiedBy>
  <dcterms:created xsi:type="dcterms:W3CDTF">2015-06-05T18:17:20Z</dcterms:created>
  <dcterms:modified xsi:type="dcterms:W3CDTF">2024-12-13T12:59:03Z</dcterms:modified>
</cp:coreProperties>
</file>